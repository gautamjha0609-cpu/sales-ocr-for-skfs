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7BF1E27-8BCC-4597-B9EA-C93D701C60B8}" xr6:coauthVersionLast="36" xr6:coauthVersionMax="47" xr10:uidLastSave="{00000000-0000-0000-0000-000000000000}"/>
  <bookViews>
    <workbookView xWindow="0" yWindow="0" windowWidth="23040" windowHeight="9060" firstSheet="19" activeTab="19" xr2:uid="{00000000-000D-0000-FFFF-FFFF00000000}"/>
  </bookViews>
  <sheets>
    <sheet name="1-11-2025 (2)" sheetId="103" r:id="rId1"/>
    <sheet name="2-11-2025" sheetId="101" r:id="rId2"/>
    <sheet name="3-11-2025" sheetId="104" r:id="rId3"/>
    <sheet name="4-11-2025" sheetId="105" r:id="rId4"/>
    <sheet name="5-11-2025" sheetId="106" r:id="rId5"/>
    <sheet name="6-11-2025" sheetId="107" r:id="rId6"/>
    <sheet name="7-11-2025" sheetId="108" r:id="rId7"/>
    <sheet name="8-11-2025" sheetId="109" r:id="rId8"/>
    <sheet name="9-11-2025" sheetId="110" r:id="rId9"/>
    <sheet name="10-11-2025" sheetId="111" r:id="rId10"/>
    <sheet name="11-11-2025" sheetId="112" r:id="rId11"/>
    <sheet name="12-11-2025" sheetId="113" r:id="rId12"/>
    <sheet name="13-11-2025" sheetId="114" r:id="rId13"/>
    <sheet name="14-11-2025" sheetId="115" r:id="rId14"/>
    <sheet name="15-11-2025" sheetId="116" r:id="rId15"/>
    <sheet name="16-11-2025" sheetId="117" r:id="rId16"/>
    <sheet name="17-11-2025" sheetId="118" r:id="rId17"/>
    <sheet name="18-11-2025" sheetId="119" r:id="rId18"/>
    <sheet name="19-11-2025" sheetId="120" r:id="rId19"/>
    <sheet name="20-11-2025" sheetId="121" r:id="rId20"/>
    <sheet name="21-11-2025" sheetId="122" r:id="rId21"/>
    <sheet name="22-11-2025" sheetId="123" r:id="rId22"/>
    <sheet name="23-11-2025" sheetId="124" r:id="rId23"/>
    <sheet name="24-11-2025" sheetId="126" r:id="rId24"/>
    <sheet name="25-11-2025" sheetId="127" r:id="rId25"/>
    <sheet name="26-11-2025" sheetId="128" r:id="rId26"/>
    <sheet name="27-11-2026" sheetId="129" r:id="rId27"/>
    <sheet name="28-11-2026" sheetId="130" r:id="rId28"/>
    <sheet name="29-11-2026" sheetId="131" r:id="rId29"/>
    <sheet name="30-11-2026" sheetId="132" r:id="rId30"/>
    <sheet name="Sheet1" sheetId="102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21" l="1"/>
  <c r="C17" i="132" l="1"/>
  <c r="C16" i="132"/>
  <c r="C15" i="132"/>
  <c r="H27" i="132"/>
  <c r="E26" i="132"/>
  <c r="D25" i="132"/>
  <c r="C25" i="132" s="1"/>
  <c r="J24" i="132"/>
  <c r="J16" i="132" s="1"/>
  <c r="B6" i="132" s="1"/>
  <c r="I24" i="132"/>
  <c r="I16" i="132" s="1"/>
  <c r="B5" i="132" s="1"/>
  <c r="H24" i="132"/>
  <c r="D24" i="132"/>
  <c r="C24" i="132" s="1"/>
  <c r="C23" i="132"/>
  <c r="C22" i="132"/>
  <c r="K21" i="132"/>
  <c r="C21" i="132"/>
  <c r="P20" i="132"/>
  <c r="L20" i="132"/>
  <c r="K20" i="132"/>
  <c r="C20" i="132"/>
  <c r="H19" i="132"/>
  <c r="C19" i="132"/>
  <c r="C18" i="132"/>
  <c r="L17" i="132"/>
  <c r="M17" i="132" s="1"/>
  <c r="K4" i="132" s="1"/>
  <c r="L16" i="132"/>
  <c r="L21" i="132" s="1"/>
  <c r="H16" i="132"/>
  <c r="V15" i="132"/>
  <c r="L15" i="132"/>
  <c r="M15" i="132" s="1"/>
  <c r="M4" i="132" s="1"/>
  <c r="C32" i="132"/>
  <c r="F9" i="132"/>
  <c r="O7" i="132"/>
  <c r="I7" i="132"/>
  <c r="F7" i="132"/>
  <c r="E7" i="132"/>
  <c r="R6" i="132"/>
  <c r="P6" i="132"/>
  <c r="N6" i="132"/>
  <c r="L6" i="132"/>
  <c r="J6" i="132"/>
  <c r="H6" i="132"/>
  <c r="F6" i="132"/>
  <c r="X5" i="132"/>
  <c r="S6" i="132" s="1"/>
  <c r="T6" i="132" s="1"/>
  <c r="R5" i="132"/>
  <c r="P5" i="132"/>
  <c r="O5" i="132"/>
  <c r="L5" i="132"/>
  <c r="I5" i="132"/>
  <c r="J5" i="132" s="1"/>
  <c r="J7" i="132" s="1"/>
  <c r="J9" i="132" s="1"/>
  <c r="F5" i="132"/>
  <c r="R4" i="132"/>
  <c r="R7" i="132" s="1"/>
  <c r="R9" i="132" s="1"/>
  <c r="P4" i="132"/>
  <c r="P7" i="132" s="1"/>
  <c r="P9" i="132" s="1"/>
  <c r="I4" i="132"/>
  <c r="G4" i="132"/>
  <c r="H4" i="132" s="1"/>
  <c r="F4" i="132"/>
  <c r="B4" i="132"/>
  <c r="X3" i="132"/>
  <c r="S5" i="132" s="1"/>
  <c r="T5" i="132" s="1"/>
  <c r="C18" i="131"/>
  <c r="C17" i="131"/>
  <c r="C16" i="131"/>
  <c r="C15" i="131"/>
  <c r="C32" i="131" s="1"/>
  <c r="H27" i="131"/>
  <c r="E26" i="131"/>
  <c r="D25" i="131"/>
  <c r="C25" i="131" s="1"/>
  <c r="J24" i="131"/>
  <c r="I24" i="131"/>
  <c r="I16" i="131" s="1"/>
  <c r="B5" i="131" s="1"/>
  <c r="H24" i="131"/>
  <c r="D24" i="131"/>
  <c r="C24" i="131" s="1"/>
  <c r="C23" i="131"/>
  <c r="C22" i="131"/>
  <c r="K21" i="131"/>
  <c r="C21" i="131"/>
  <c r="P20" i="131"/>
  <c r="L20" i="131"/>
  <c r="K20" i="131"/>
  <c r="G4" i="131" s="1"/>
  <c r="H4" i="131" s="1"/>
  <c r="C20" i="131"/>
  <c r="H19" i="131"/>
  <c r="C19" i="131"/>
  <c r="L17" i="131"/>
  <c r="M17" i="131" s="1"/>
  <c r="K4" i="131" s="1"/>
  <c r="L16" i="131"/>
  <c r="M16" i="131" s="1"/>
  <c r="G5" i="131" s="1"/>
  <c r="J16" i="131"/>
  <c r="B6" i="131" s="1"/>
  <c r="H16" i="131"/>
  <c r="B4" i="131" s="1"/>
  <c r="V15" i="131"/>
  <c r="L15" i="131"/>
  <c r="M15" i="131" s="1"/>
  <c r="M4" i="131" s="1"/>
  <c r="F9" i="131"/>
  <c r="O7" i="131"/>
  <c r="I7" i="131"/>
  <c r="F7" i="131"/>
  <c r="E7" i="131"/>
  <c r="R6" i="131"/>
  <c r="P6" i="131"/>
  <c r="N6" i="131"/>
  <c r="L6" i="131"/>
  <c r="J6" i="131"/>
  <c r="H6" i="131"/>
  <c r="F6" i="131"/>
  <c r="X5" i="131"/>
  <c r="S6" i="131" s="1"/>
  <c r="T6" i="131" s="1"/>
  <c r="R5" i="131"/>
  <c r="P5" i="131"/>
  <c r="O5" i="131"/>
  <c r="L5" i="131"/>
  <c r="I5" i="131"/>
  <c r="J5" i="131" s="1"/>
  <c r="J7" i="131" s="1"/>
  <c r="J9" i="131" s="1"/>
  <c r="F5" i="131"/>
  <c r="R4" i="131"/>
  <c r="R7" i="131" s="1"/>
  <c r="R9" i="131" s="1"/>
  <c r="P4" i="131"/>
  <c r="P7" i="131" s="1"/>
  <c r="P9" i="131" s="1"/>
  <c r="I4" i="131"/>
  <c r="F4" i="131"/>
  <c r="X3" i="131"/>
  <c r="S5" i="131" s="1"/>
  <c r="T5" i="131" s="1"/>
  <c r="C17" i="130"/>
  <c r="C16" i="130"/>
  <c r="C15" i="130"/>
  <c r="H27" i="130"/>
  <c r="E26" i="130"/>
  <c r="D25" i="130"/>
  <c r="C25" i="130" s="1"/>
  <c r="J24" i="130"/>
  <c r="I24" i="130"/>
  <c r="I16" i="130" s="1"/>
  <c r="B5" i="130" s="1"/>
  <c r="H24" i="130"/>
  <c r="D24" i="130"/>
  <c r="C24" i="130" s="1"/>
  <c r="C23" i="130"/>
  <c r="C22" i="130"/>
  <c r="K21" i="130"/>
  <c r="C21" i="130"/>
  <c r="P20" i="130"/>
  <c r="L20" i="130"/>
  <c r="K20" i="130" s="1"/>
  <c r="G4" i="130" s="1"/>
  <c r="C20" i="130"/>
  <c r="H19" i="130"/>
  <c r="C19" i="130"/>
  <c r="C18" i="130"/>
  <c r="M17" i="130"/>
  <c r="L17" i="130"/>
  <c r="L16" i="130"/>
  <c r="L19" i="130" s="1"/>
  <c r="M19" i="130" s="1"/>
  <c r="M5" i="130" s="1"/>
  <c r="N5" i="130" s="1"/>
  <c r="J16" i="130"/>
  <c r="B6" i="130" s="1"/>
  <c r="H16" i="130"/>
  <c r="B4" i="130" s="1"/>
  <c r="V15" i="130"/>
  <c r="L15" i="130"/>
  <c r="M15" i="130" s="1"/>
  <c r="M4" i="130" s="1"/>
  <c r="C32" i="130"/>
  <c r="F9" i="130"/>
  <c r="O7" i="130"/>
  <c r="K7" i="130"/>
  <c r="F7" i="130"/>
  <c r="E7" i="130"/>
  <c r="R6" i="130"/>
  <c r="P6" i="130"/>
  <c r="N6" i="130"/>
  <c r="L6" i="130"/>
  <c r="J6" i="130"/>
  <c r="H6" i="130"/>
  <c r="F6" i="130"/>
  <c r="X5" i="130"/>
  <c r="S6" i="130" s="1"/>
  <c r="T6" i="130" s="1"/>
  <c r="R5" i="130"/>
  <c r="O5" i="130"/>
  <c r="P5" i="130" s="1"/>
  <c r="L5" i="130"/>
  <c r="I5" i="130"/>
  <c r="J5" i="130" s="1"/>
  <c r="J7" i="130" s="1"/>
  <c r="J9" i="130" s="1"/>
  <c r="F5" i="130"/>
  <c r="R4" i="130"/>
  <c r="R7" i="130" s="1"/>
  <c r="R9" i="130" s="1"/>
  <c r="P4" i="130"/>
  <c r="P7" i="130" s="1"/>
  <c r="P9" i="130" s="1"/>
  <c r="K4" i="130"/>
  <c r="L4" i="130" s="1"/>
  <c r="L7" i="130" s="1"/>
  <c r="L9" i="130" s="1"/>
  <c r="I4" i="130"/>
  <c r="I7" i="130" s="1"/>
  <c r="F4" i="130"/>
  <c r="X3" i="130"/>
  <c r="S5" i="130" s="1"/>
  <c r="T5" i="130" s="1"/>
  <c r="C16" i="129"/>
  <c r="C15" i="129"/>
  <c r="H27" i="129"/>
  <c r="E26" i="129"/>
  <c r="D25" i="129"/>
  <c r="C25" i="129" s="1"/>
  <c r="J24" i="129"/>
  <c r="I24" i="129"/>
  <c r="I16" i="129" s="1"/>
  <c r="B5" i="129" s="1"/>
  <c r="H24" i="129"/>
  <c r="H16" i="129" s="1"/>
  <c r="B4" i="129" s="1"/>
  <c r="D4" i="129" s="1"/>
  <c r="D24" i="129"/>
  <c r="C24" i="129" s="1"/>
  <c r="C23" i="129"/>
  <c r="C22" i="129"/>
  <c r="K21" i="129"/>
  <c r="C21" i="129"/>
  <c r="P20" i="129"/>
  <c r="L20" i="129"/>
  <c r="K20" i="129"/>
  <c r="C20" i="129"/>
  <c r="H19" i="129"/>
  <c r="C19" i="129"/>
  <c r="C18" i="129"/>
  <c r="L17" i="129"/>
  <c r="M17" i="129" s="1"/>
  <c r="K4" i="129" s="1"/>
  <c r="C17" i="129"/>
  <c r="X3" i="129" s="1"/>
  <c r="S5" i="129" s="1"/>
  <c r="T5" i="129" s="1"/>
  <c r="M16" i="129"/>
  <c r="G5" i="129" s="1"/>
  <c r="L16" i="129"/>
  <c r="L21" i="129" s="1"/>
  <c r="M21" i="129" s="1"/>
  <c r="J16" i="129"/>
  <c r="B6" i="129" s="1"/>
  <c r="V15" i="129"/>
  <c r="L15" i="129"/>
  <c r="M15" i="129" s="1"/>
  <c r="M4" i="129" s="1"/>
  <c r="C32" i="129"/>
  <c r="O7" i="129"/>
  <c r="E7" i="129"/>
  <c r="R6" i="129"/>
  <c r="P6" i="129"/>
  <c r="N6" i="129"/>
  <c r="L6" i="129"/>
  <c r="J6" i="129"/>
  <c r="H6" i="129"/>
  <c r="F6" i="129"/>
  <c r="X5" i="129"/>
  <c r="S6" i="129" s="1"/>
  <c r="T6" i="129" s="1"/>
  <c r="R5" i="129"/>
  <c r="O5" i="129"/>
  <c r="P5" i="129" s="1"/>
  <c r="L5" i="129"/>
  <c r="I5" i="129"/>
  <c r="J5" i="129" s="1"/>
  <c r="J7" i="129" s="1"/>
  <c r="J9" i="129" s="1"/>
  <c r="F5" i="129"/>
  <c r="R4" i="129"/>
  <c r="P4" i="129"/>
  <c r="P7" i="129" s="1"/>
  <c r="P9" i="129" s="1"/>
  <c r="I4" i="129"/>
  <c r="I7" i="129" s="1"/>
  <c r="G4" i="129"/>
  <c r="H4" i="129" s="1"/>
  <c r="F4" i="129"/>
  <c r="F7" i="129" s="1"/>
  <c r="F9" i="129" s="1"/>
  <c r="C21" i="128"/>
  <c r="C20" i="128"/>
  <c r="C19" i="128"/>
  <c r="C18" i="128"/>
  <c r="C17" i="128"/>
  <c r="C16" i="128"/>
  <c r="C15" i="128"/>
  <c r="X3" i="128" s="1"/>
  <c r="S5" i="128" s="1"/>
  <c r="T5" i="128" s="1"/>
  <c r="H27" i="128"/>
  <c r="E26" i="128"/>
  <c r="D25" i="128"/>
  <c r="C25" i="128" s="1"/>
  <c r="J24" i="128"/>
  <c r="I24" i="128"/>
  <c r="I16" i="128" s="1"/>
  <c r="B5" i="128" s="1"/>
  <c r="H24" i="128"/>
  <c r="H16" i="128" s="1"/>
  <c r="B4" i="128" s="1"/>
  <c r="D24" i="128"/>
  <c r="C24" i="128" s="1"/>
  <c r="X4" i="128" s="1"/>
  <c r="S4" i="128" s="1"/>
  <c r="C23" i="128"/>
  <c r="C22" i="128"/>
  <c r="K21" i="128"/>
  <c r="P20" i="128"/>
  <c r="L20" i="128"/>
  <c r="K20" i="128"/>
  <c r="G4" i="128" s="1"/>
  <c r="H4" i="128" s="1"/>
  <c r="H19" i="128"/>
  <c r="L17" i="128"/>
  <c r="M17" i="128" s="1"/>
  <c r="K4" i="128" s="1"/>
  <c r="L16" i="128"/>
  <c r="L19" i="128" s="1"/>
  <c r="M19" i="128" s="1"/>
  <c r="M5" i="128" s="1"/>
  <c r="N5" i="128" s="1"/>
  <c r="J16" i="128"/>
  <c r="B6" i="128" s="1"/>
  <c r="V15" i="128"/>
  <c r="L15" i="128"/>
  <c r="M15" i="128" s="1"/>
  <c r="M4" i="128" s="1"/>
  <c r="F9" i="128"/>
  <c r="O7" i="128"/>
  <c r="I7" i="128"/>
  <c r="F7" i="128"/>
  <c r="E7" i="128"/>
  <c r="R6" i="128"/>
  <c r="P6" i="128"/>
  <c r="N6" i="128"/>
  <c r="L6" i="128"/>
  <c r="J6" i="128"/>
  <c r="H6" i="128"/>
  <c r="F6" i="128"/>
  <c r="X5" i="128"/>
  <c r="S6" i="128" s="1"/>
  <c r="T6" i="128" s="1"/>
  <c r="R5" i="128"/>
  <c r="P5" i="128"/>
  <c r="O5" i="128"/>
  <c r="L5" i="128"/>
  <c r="I5" i="128"/>
  <c r="J5" i="128" s="1"/>
  <c r="J7" i="128" s="1"/>
  <c r="J9" i="128" s="1"/>
  <c r="F5" i="128"/>
  <c r="R4" i="128"/>
  <c r="P4" i="128"/>
  <c r="P7" i="128" s="1"/>
  <c r="P9" i="128" s="1"/>
  <c r="I4" i="128"/>
  <c r="F4" i="128"/>
  <c r="C17" i="127"/>
  <c r="C16" i="127"/>
  <c r="C15" i="127"/>
  <c r="C32" i="127"/>
  <c r="H27" i="127"/>
  <c r="E26" i="127"/>
  <c r="D25" i="127"/>
  <c r="C25" i="127"/>
  <c r="J24" i="127"/>
  <c r="I24" i="127"/>
  <c r="I16" i="127" s="1"/>
  <c r="B5" i="127" s="1"/>
  <c r="H24" i="127"/>
  <c r="H16" i="127" s="1"/>
  <c r="B4" i="127" s="1"/>
  <c r="D24" i="127"/>
  <c r="C24" i="127" s="1"/>
  <c r="C23" i="127"/>
  <c r="C22" i="127"/>
  <c r="K21" i="127"/>
  <c r="C21" i="127"/>
  <c r="P20" i="127"/>
  <c r="L20" i="127"/>
  <c r="K20" i="127"/>
  <c r="G4" i="127" s="1"/>
  <c r="H4" i="127" s="1"/>
  <c r="C20" i="127"/>
  <c r="H19" i="127"/>
  <c r="C19" i="127"/>
  <c r="C18" i="127"/>
  <c r="L17" i="127"/>
  <c r="M17" i="127" s="1"/>
  <c r="K4" i="127" s="1"/>
  <c r="L16" i="127"/>
  <c r="L19" i="127" s="1"/>
  <c r="M19" i="127" s="1"/>
  <c r="M5" i="127" s="1"/>
  <c r="N5" i="127" s="1"/>
  <c r="J16" i="127"/>
  <c r="B6" i="127" s="1"/>
  <c r="V15" i="127"/>
  <c r="L15" i="127"/>
  <c r="M15" i="127" s="1"/>
  <c r="M4" i="127" s="1"/>
  <c r="F9" i="127"/>
  <c r="O7" i="127"/>
  <c r="I7" i="127"/>
  <c r="F7" i="127"/>
  <c r="E7" i="127"/>
  <c r="R6" i="127"/>
  <c r="P6" i="127"/>
  <c r="N6" i="127"/>
  <c r="L6" i="127"/>
  <c r="J6" i="127"/>
  <c r="H6" i="127"/>
  <c r="F6" i="127"/>
  <c r="X5" i="127"/>
  <c r="S6" i="127" s="1"/>
  <c r="T6" i="127" s="1"/>
  <c r="R5" i="127"/>
  <c r="O5" i="127"/>
  <c r="P5" i="127" s="1"/>
  <c r="L5" i="127"/>
  <c r="I5" i="127"/>
  <c r="J5" i="127" s="1"/>
  <c r="J7" i="127" s="1"/>
  <c r="J9" i="127" s="1"/>
  <c r="F5" i="127"/>
  <c r="R4" i="127"/>
  <c r="R7" i="127" s="1"/>
  <c r="R9" i="127" s="1"/>
  <c r="P4" i="127"/>
  <c r="I4" i="127"/>
  <c r="F4" i="127"/>
  <c r="C21" i="126"/>
  <c r="C20" i="126"/>
  <c r="C19" i="126"/>
  <c r="C18" i="126"/>
  <c r="X3" i="126" s="1"/>
  <c r="S5" i="126" s="1"/>
  <c r="T5" i="126" s="1"/>
  <c r="C17" i="126"/>
  <c r="C16" i="126"/>
  <c r="C15" i="126"/>
  <c r="H27" i="126"/>
  <c r="E26" i="126"/>
  <c r="D25" i="126"/>
  <c r="C25" i="126" s="1"/>
  <c r="J24" i="126"/>
  <c r="I24" i="126"/>
  <c r="I16" i="126" s="1"/>
  <c r="B5" i="126" s="1"/>
  <c r="H24" i="126"/>
  <c r="H16" i="126" s="1"/>
  <c r="B4" i="126" s="1"/>
  <c r="D24" i="126"/>
  <c r="C24" i="126" s="1"/>
  <c r="C23" i="126"/>
  <c r="C22" i="126"/>
  <c r="K21" i="126"/>
  <c r="P20" i="126"/>
  <c r="L20" i="126"/>
  <c r="K20" i="126"/>
  <c r="G4" i="126" s="1"/>
  <c r="H4" i="126" s="1"/>
  <c r="H19" i="126"/>
  <c r="L17" i="126"/>
  <c r="M17" i="126" s="1"/>
  <c r="K4" i="126" s="1"/>
  <c r="L16" i="126"/>
  <c r="M16" i="126" s="1"/>
  <c r="G5" i="126" s="1"/>
  <c r="J16" i="126"/>
  <c r="B6" i="126" s="1"/>
  <c r="V15" i="126"/>
  <c r="L15" i="126"/>
  <c r="M15" i="126" s="1"/>
  <c r="M4" i="126" s="1"/>
  <c r="C32" i="126"/>
  <c r="F9" i="126"/>
  <c r="O7" i="126"/>
  <c r="I7" i="126"/>
  <c r="F7" i="126"/>
  <c r="E7" i="126"/>
  <c r="R6" i="126"/>
  <c r="P6" i="126"/>
  <c r="N6" i="126"/>
  <c r="L6" i="126"/>
  <c r="J6" i="126"/>
  <c r="H6" i="126"/>
  <c r="F6" i="126"/>
  <c r="X5" i="126"/>
  <c r="S6" i="126" s="1"/>
  <c r="T6" i="126" s="1"/>
  <c r="R5" i="126"/>
  <c r="O5" i="126"/>
  <c r="P5" i="126" s="1"/>
  <c r="L5" i="126"/>
  <c r="I5" i="126"/>
  <c r="J5" i="126" s="1"/>
  <c r="J7" i="126" s="1"/>
  <c r="J9" i="126" s="1"/>
  <c r="F5" i="126"/>
  <c r="R4" i="126"/>
  <c r="P4" i="126"/>
  <c r="P7" i="126" s="1"/>
  <c r="P9" i="126" s="1"/>
  <c r="I4" i="126"/>
  <c r="F4" i="126"/>
  <c r="C19" i="124"/>
  <c r="C18" i="124"/>
  <c r="C17" i="124"/>
  <c r="C16" i="124"/>
  <c r="C15" i="124"/>
  <c r="X3" i="124" s="1"/>
  <c r="S5" i="124" s="1"/>
  <c r="T5" i="124" s="1"/>
  <c r="H27" i="124"/>
  <c r="E26" i="124"/>
  <c r="D25" i="124"/>
  <c r="C25" i="124" s="1"/>
  <c r="J24" i="124"/>
  <c r="I24" i="124"/>
  <c r="I16" i="124" s="1"/>
  <c r="B5" i="124" s="1"/>
  <c r="H24" i="124"/>
  <c r="H16" i="124" s="1"/>
  <c r="B4" i="124" s="1"/>
  <c r="D24" i="124"/>
  <c r="C24" i="124" s="1"/>
  <c r="C23" i="124"/>
  <c r="C22" i="124"/>
  <c r="K21" i="124"/>
  <c r="C21" i="124"/>
  <c r="P20" i="124"/>
  <c r="L20" i="124"/>
  <c r="K20" i="124"/>
  <c r="G4" i="124" s="1"/>
  <c r="H4" i="124" s="1"/>
  <c r="C20" i="124"/>
  <c r="L19" i="124"/>
  <c r="M19" i="124" s="1"/>
  <c r="M5" i="124" s="1"/>
  <c r="N5" i="124" s="1"/>
  <c r="H19" i="124"/>
  <c r="L17" i="124"/>
  <c r="M17" i="124" s="1"/>
  <c r="K4" i="124" s="1"/>
  <c r="L16" i="124"/>
  <c r="M16" i="124" s="1"/>
  <c r="G5" i="124" s="1"/>
  <c r="J16" i="124"/>
  <c r="B6" i="124" s="1"/>
  <c r="V15" i="124"/>
  <c r="L15" i="124"/>
  <c r="M15" i="124" s="1"/>
  <c r="M4" i="124" s="1"/>
  <c r="C32" i="124"/>
  <c r="F9" i="124"/>
  <c r="O7" i="124"/>
  <c r="I7" i="124"/>
  <c r="F7" i="124"/>
  <c r="E7" i="124"/>
  <c r="R6" i="124"/>
  <c r="P6" i="124"/>
  <c r="N6" i="124"/>
  <c r="L6" i="124"/>
  <c r="J6" i="124"/>
  <c r="H6" i="124"/>
  <c r="F6" i="124"/>
  <c r="X5" i="124"/>
  <c r="S6" i="124" s="1"/>
  <c r="T6" i="124" s="1"/>
  <c r="R5" i="124"/>
  <c r="O5" i="124"/>
  <c r="P5" i="124" s="1"/>
  <c r="L5" i="124"/>
  <c r="I5" i="124"/>
  <c r="J5" i="124" s="1"/>
  <c r="J7" i="124" s="1"/>
  <c r="J9" i="124" s="1"/>
  <c r="F5" i="124"/>
  <c r="R4" i="124"/>
  <c r="R7" i="124" s="1"/>
  <c r="R9" i="124" s="1"/>
  <c r="P4" i="124"/>
  <c r="I4" i="124"/>
  <c r="F4" i="124"/>
  <c r="C19" i="123"/>
  <c r="C18" i="123"/>
  <c r="C17" i="123"/>
  <c r="C16" i="123"/>
  <c r="C15" i="123"/>
  <c r="X3" i="123" s="1"/>
  <c r="S5" i="123" s="1"/>
  <c r="T5" i="123" s="1"/>
  <c r="H27" i="123"/>
  <c r="E26" i="123"/>
  <c r="D25" i="123"/>
  <c r="C25" i="123"/>
  <c r="J24" i="123"/>
  <c r="I24" i="123"/>
  <c r="I16" i="123" s="1"/>
  <c r="B5" i="123" s="1"/>
  <c r="H24" i="123"/>
  <c r="H16" i="123" s="1"/>
  <c r="B4" i="123" s="1"/>
  <c r="D24" i="123"/>
  <c r="C24" i="123" s="1"/>
  <c r="X4" i="123" s="1"/>
  <c r="S4" i="123" s="1"/>
  <c r="C23" i="123"/>
  <c r="C22" i="123"/>
  <c r="K21" i="123"/>
  <c r="C21" i="123"/>
  <c r="P20" i="123"/>
  <c r="L20" i="123"/>
  <c r="K20" i="123"/>
  <c r="G4" i="123" s="1"/>
  <c r="H4" i="123" s="1"/>
  <c r="C20" i="123"/>
  <c r="H19" i="123"/>
  <c r="L17" i="123"/>
  <c r="M17" i="123" s="1"/>
  <c r="K4" i="123" s="1"/>
  <c r="M16" i="123"/>
  <c r="G5" i="123" s="1"/>
  <c r="L16" i="123"/>
  <c r="L21" i="123" s="1"/>
  <c r="J16" i="123"/>
  <c r="B6" i="123" s="1"/>
  <c r="V15" i="123"/>
  <c r="L15" i="123"/>
  <c r="M15" i="123" s="1"/>
  <c r="M4" i="123" s="1"/>
  <c r="C32" i="123"/>
  <c r="O7" i="123"/>
  <c r="E7" i="123"/>
  <c r="R6" i="123"/>
  <c r="P6" i="123"/>
  <c r="N6" i="123"/>
  <c r="L6" i="123"/>
  <c r="J6" i="123"/>
  <c r="H6" i="123"/>
  <c r="F6" i="123"/>
  <c r="X5" i="123"/>
  <c r="S6" i="123" s="1"/>
  <c r="T6" i="123" s="1"/>
  <c r="R5" i="123"/>
  <c r="O5" i="123"/>
  <c r="P5" i="123" s="1"/>
  <c r="L5" i="123"/>
  <c r="I5" i="123"/>
  <c r="J5" i="123" s="1"/>
  <c r="J7" i="123" s="1"/>
  <c r="J9" i="123" s="1"/>
  <c r="F5" i="123"/>
  <c r="R4" i="123"/>
  <c r="P4" i="123"/>
  <c r="P7" i="123" s="1"/>
  <c r="P9" i="123" s="1"/>
  <c r="I4" i="123"/>
  <c r="I7" i="123" s="1"/>
  <c r="F4" i="123"/>
  <c r="F7" i="123" s="1"/>
  <c r="F9" i="123" s="1"/>
  <c r="C16" i="122"/>
  <c r="C15" i="122"/>
  <c r="H27" i="122"/>
  <c r="E26" i="122"/>
  <c r="D25" i="122"/>
  <c r="C25" i="122" s="1"/>
  <c r="J24" i="122"/>
  <c r="I24" i="122"/>
  <c r="I16" i="122" s="1"/>
  <c r="B5" i="122" s="1"/>
  <c r="H24" i="122"/>
  <c r="H16" i="122" s="1"/>
  <c r="B4" i="122" s="1"/>
  <c r="D24" i="122"/>
  <c r="C24" i="122" s="1"/>
  <c r="C23" i="122"/>
  <c r="C22" i="122"/>
  <c r="K21" i="122"/>
  <c r="C21" i="122"/>
  <c r="P20" i="122"/>
  <c r="L20" i="122"/>
  <c r="K20" i="122"/>
  <c r="G4" i="122" s="1"/>
  <c r="H4" i="122" s="1"/>
  <c r="C20" i="122"/>
  <c r="H19" i="122"/>
  <c r="C19" i="122"/>
  <c r="C18" i="122"/>
  <c r="L17" i="122"/>
  <c r="M17" i="122" s="1"/>
  <c r="K4" i="122" s="1"/>
  <c r="C17" i="122"/>
  <c r="L16" i="122"/>
  <c r="M16" i="122" s="1"/>
  <c r="G5" i="122" s="1"/>
  <c r="J16" i="122"/>
  <c r="B6" i="122" s="1"/>
  <c r="V15" i="122"/>
  <c r="M15" i="122"/>
  <c r="L15" i="122"/>
  <c r="C32" i="122"/>
  <c r="E7" i="122"/>
  <c r="R6" i="122"/>
  <c r="P6" i="122"/>
  <c r="N6" i="122"/>
  <c r="L6" i="122"/>
  <c r="J6" i="122"/>
  <c r="H6" i="122"/>
  <c r="F6" i="122"/>
  <c r="X5" i="122"/>
  <c r="S6" i="122" s="1"/>
  <c r="T6" i="122" s="1"/>
  <c r="R5" i="122"/>
  <c r="O5" i="122"/>
  <c r="P5" i="122" s="1"/>
  <c r="L5" i="122"/>
  <c r="I5" i="122"/>
  <c r="J5" i="122" s="1"/>
  <c r="J7" i="122" s="1"/>
  <c r="J9" i="122" s="1"/>
  <c r="F5" i="122"/>
  <c r="R4" i="122"/>
  <c r="P4" i="122"/>
  <c r="M4" i="122"/>
  <c r="N4" i="122" s="1"/>
  <c r="I4" i="122"/>
  <c r="I7" i="122" s="1"/>
  <c r="F4" i="122"/>
  <c r="F7" i="122" s="1"/>
  <c r="F9" i="122" s="1"/>
  <c r="X3" i="122"/>
  <c r="S5" i="122" s="1"/>
  <c r="T5" i="122" s="1"/>
  <c r="I4" i="121"/>
  <c r="C19" i="121"/>
  <c r="C18" i="121"/>
  <c r="C17" i="121"/>
  <c r="C16" i="121"/>
  <c r="C15" i="121"/>
  <c r="H27" i="121"/>
  <c r="E26" i="121"/>
  <c r="D25" i="121"/>
  <c r="C25" i="121" s="1"/>
  <c r="J24" i="121"/>
  <c r="J16" i="121" s="1"/>
  <c r="B6" i="121" s="1"/>
  <c r="I24" i="121"/>
  <c r="I16" i="121" s="1"/>
  <c r="B5" i="121" s="1"/>
  <c r="H24" i="121"/>
  <c r="H16" i="121" s="1"/>
  <c r="B4" i="121" s="1"/>
  <c r="D24" i="121"/>
  <c r="C24" i="121" s="1"/>
  <c r="C23" i="121"/>
  <c r="C22" i="121"/>
  <c r="K21" i="121"/>
  <c r="M21" i="121" s="1"/>
  <c r="C21" i="121"/>
  <c r="P20" i="121"/>
  <c r="L20" i="121"/>
  <c r="K20" i="121"/>
  <c r="G4" i="121" s="1"/>
  <c r="H4" i="121" s="1"/>
  <c r="C20" i="121"/>
  <c r="H19" i="121"/>
  <c r="L17" i="121"/>
  <c r="M17" i="121" s="1"/>
  <c r="K4" i="121" s="1"/>
  <c r="L16" i="121"/>
  <c r="L21" i="121" s="1"/>
  <c r="V15" i="121"/>
  <c r="L15" i="121"/>
  <c r="M15" i="121" s="1"/>
  <c r="M4" i="121" s="1"/>
  <c r="C32" i="121"/>
  <c r="F9" i="121"/>
  <c r="O7" i="121"/>
  <c r="F7" i="121"/>
  <c r="E7" i="121"/>
  <c r="R6" i="121"/>
  <c r="P6" i="121"/>
  <c r="N6" i="121"/>
  <c r="L6" i="121"/>
  <c r="J6" i="121"/>
  <c r="H6" i="121"/>
  <c r="F6" i="121"/>
  <c r="X5" i="121"/>
  <c r="S6" i="121" s="1"/>
  <c r="T6" i="121" s="1"/>
  <c r="R5" i="121"/>
  <c r="P5" i="121"/>
  <c r="O5" i="121"/>
  <c r="L5" i="121"/>
  <c r="I5" i="121"/>
  <c r="J5" i="121" s="1"/>
  <c r="F5" i="121"/>
  <c r="R4" i="121"/>
  <c r="P4" i="121"/>
  <c r="P7" i="121" s="1"/>
  <c r="P9" i="121" s="1"/>
  <c r="F4" i="121"/>
  <c r="X3" i="121"/>
  <c r="S5" i="121" s="1"/>
  <c r="T5" i="121" s="1"/>
  <c r="C17" i="120"/>
  <c r="C16" i="120"/>
  <c r="C15" i="120"/>
  <c r="H27" i="120"/>
  <c r="E26" i="120"/>
  <c r="D25" i="120"/>
  <c r="C25" i="120"/>
  <c r="J24" i="120"/>
  <c r="I24" i="120"/>
  <c r="I16" i="120" s="1"/>
  <c r="B5" i="120" s="1"/>
  <c r="H24" i="120"/>
  <c r="D24" i="120"/>
  <c r="C24" i="120" s="1"/>
  <c r="X4" i="120" s="1"/>
  <c r="S4" i="120" s="1"/>
  <c r="C23" i="120"/>
  <c r="C22" i="120"/>
  <c r="K21" i="120"/>
  <c r="C21" i="120"/>
  <c r="P20" i="120"/>
  <c r="L20" i="120"/>
  <c r="K20" i="120"/>
  <c r="G4" i="120" s="1"/>
  <c r="H4" i="120" s="1"/>
  <c r="C20" i="120"/>
  <c r="H19" i="120"/>
  <c r="C19" i="120"/>
  <c r="C18" i="120"/>
  <c r="L17" i="120"/>
  <c r="M17" i="120" s="1"/>
  <c r="K4" i="120" s="1"/>
  <c r="L16" i="120"/>
  <c r="M16" i="120" s="1"/>
  <c r="G5" i="120" s="1"/>
  <c r="J16" i="120"/>
  <c r="B6" i="120" s="1"/>
  <c r="H16" i="120"/>
  <c r="B4" i="120" s="1"/>
  <c r="V15" i="120"/>
  <c r="L15" i="120"/>
  <c r="M15" i="120" s="1"/>
  <c r="M4" i="120" s="1"/>
  <c r="C32" i="120"/>
  <c r="F9" i="120"/>
  <c r="O7" i="120"/>
  <c r="F7" i="120"/>
  <c r="E7" i="120"/>
  <c r="R6" i="120"/>
  <c r="P6" i="120"/>
  <c r="N6" i="120"/>
  <c r="L6" i="120"/>
  <c r="J6" i="120"/>
  <c r="H6" i="120"/>
  <c r="F6" i="120"/>
  <c r="X5" i="120"/>
  <c r="S6" i="120" s="1"/>
  <c r="T6" i="120" s="1"/>
  <c r="R5" i="120"/>
  <c r="O5" i="120"/>
  <c r="P5" i="120" s="1"/>
  <c r="L5" i="120"/>
  <c r="I5" i="120"/>
  <c r="J5" i="120" s="1"/>
  <c r="J7" i="120" s="1"/>
  <c r="J9" i="120" s="1"/>
  <c r="F5" i="120"/>
  <c r="R4" i="120"/>
  <c r="R7" i="120" s="1"/>
  <c r="R9" i="120" s="1"/>
  <c r="P4" i="120"/>
  <c r="P7" i="120" s="1"/>
  <c r="P9" i="120" s="1"/>
  <c r="I4" i="120"/>
  <c r="I7" i="120" s="1"/>
  <c r="F4" i="120"/>
  <c r="X3" i="120"/>
  <c r="S5" i="120" s="1"/>
  <c r="T5" i="120" s="1"/>
  <c r="C18" i="119"/>
  <c r="C17" i="119"/>
  <c r="C16" i="119"/>
  <c r="C15" i="119"/>
  <c r="X3" i="119" s="1"/>
  <c r="S5" i="119" s="1"/>
  <c r="T5" i="119" s="1"/>
  <c r="H27" i="119"/>
  <c r="E26" i="119"/>
  <c r="D25" i="119"/>
  <c r="C25" i="119"/>
  <c r="J24" i="119"/>
  <c r="I24" i="119"/>
  <c r="I16" i="119" s="1"/>
  <c r="B5" i="119" s="1"/>
  <c r="H24" i="119"/>
  <c r="H16" i="119" s="1"/>
  <c r="B4" i="119" s="1"/>
  <c r="D24" i="119"/>
  <c r="C24" i="119" s="1"/>
  <c r="X4" i="119" s="1"/>
  <c r="S4" i="119" s="1"/>
  <c r="C23" i="119"/>
  <c r="C22" i="119"/>
  <c r="K21" i="119"/>
  <c r="C21" i="119"/>
  <c r="P20" i="119"/>
  <c r="L20" i="119"/>
  <c r="K20" i="119"/>
  <c r="G4" i="119" s="1"/>
  <c r="H4" i="119" s="1"/>
  <c r="C20" i="119"/>
  <c r="L19" i="119"/>
  <c r="M19" i="119" s="1"/>
  <c r="M5" i="119" s="1"/>
  <c r="N5" i="119" s="1"/>
  <c r="H19" i="119"/>
  <c r="C19" i="119"/>
  <c r="L17" i="119"/>
  <c r="M17" i="119" s="1"/>
  <c r="K4" i="119" s="1"/>
  <c r="L16" i="119"/>
  <c r="L21" i="119" s="1"/>
  <c r="J16" i="119"/>
  <c r="B6" i="119" s="1"/>
  <c r="V15" i="119"/>
  <c r="L15" i="119"/>
  <c r="M15" i="119" s="1"/>
  <c r="M4" i="119" s="1"/>
  <c r="C32" i="119"/>
  <c r="F9" i="119"/>
  <c r="O7" i="119"/>
  <c r="F7" i="119"/>
  <c r="E7" i="119"/>
  <c r="R6" i="119"/>
  <c r="P6" i="119"/>
  <c r="N6" i="119"/>
  <c r="L6" i="119"/>
  <c r="J6" i="119"/>
  <c r="H6" i="119"/>
  <c r="F6" i="119"/>
  <c r="X5" i="119"/>
  <c r="S6" i="119" s="1"/>
  <c r="T6" i="119" s="1"/>
  <c r="R5" i="119"/>
  <c r="O5" i="119"/>
  <c r="P5" i="119" s="1"/>
  <c r="L5" i="119"/>
  <c r="I5" i="119"/>
  <c r="J5" i="119" s="1"/>
  <c r="J7" i="119" s="1"/>
  <c r="J9" i="119" s="1"/>
  <c r="F5" i="119"/>
  <c r="R4" i="119"/>
  <c r="R7" i="119" s="1"/>
  <c r="R9" i="119" s="1"/>
  <c r="P4" i="119"/>
  <c r="P7" i="119" s="1"/>
  <c r="P9" i="119" s="1"/>
  <c r="I4" i="119"/>
  <c r="I7" i="119" s="1"/>
  <c r="F4" i="119"/>
  <c r="C18" i="118"/>
  <c r="C17" i="118"/>
  <c r="C16" i="118"/>
  <c r="C15" i="118"/>
  <c r="H27" i="118"/>
  <c r="E26" i="118"/>
  <c r="D25" i="118"/>
  <c r="C25" i="118" s="1"/>
  <c r="J24" i="118"/>
  <c r="J16" i="118" s="1"/>
  <c r="B6" i="118" s="1"/>
  <c r="I24" i="118"/>
  <c r="I16" i="118" s="1"/>
  <c r="B5" i="118" s="1"/>
  <c r="H24" i="118"/>
  <c r="H16" i="118" s="1"/>
  <c r="B4" i="118" s="1"/>
  <c r="D24" i="118"/>
  <c r="C24" i="118" s="1"/>
  <c r="C23" i="118"/>
  <c r="C22" i="118"/>
  <c r="K21" i="118"/>
  <c r="C21" i="118"/>
  <c r="P20" i="118"/>
  <c r="L20" i="118"/>
  <c r="K20" i="118"/>
  <c r="G4" i="118" s="1"/>
  <c r="H4" i="118" s="1"/>
  <c r="C20" i="118"/>
  <c r="H19" i="118"/>
  <c r="C19" i="118"/>
  <c r="X3" i="118" s="1"/>
  <c r="S5" i="118" s="1"/>
  <c r="T5" i="118" s="1"/>
  <c r="L17" i="118"/>
  <c r="M17" i="118" s="1"/>
  <c r="K4" i="118" s="1"/>
  <c r="L16" i="118"/>
  <c r="M16" i="118" s="1"/>
  <c r="G5" i="118" s="1"/>
  <c r="H5" i="118" s="1"/>
  <c r="V15" i="118"/>
  <c r="M15" i="118"/>
  <c r="L15" i="118"/>
  <c r="C32" i="118"/>
  <c r="E7" i="118"/>
  <c r="R6" i="118"/>
  <c r="P6" i="118"/>
  <c r="N6" i="118"/>
  <c r="L6" i="118"/>
  <c r="J6" i="118"/>
  <c r="H6" i="118"/>
  <c r="F6" i="118"/>
  <c r="X5" i="118"/>
  <c r="S6" i="118" s="1"/>
  <c r="T6" i="118" s="1"/>
  <c r="R5" i="118"/>
  <c r="O5" i="118"/>
  <c r="P5" i="118" s="1"/>
  <c r="L5" i="118"/>
  <c r="I5" i="118"/>
  <c r="J5" i="118" s="1"/>
  <c r="J7" i="118" s="1"/>
  <c r="J9" i="118" s="1"/>
  <c r="F5" i="118"/>
  <c r="R4" i="118"/>
  <c r="P4" i="118"/>
  <c r="M4" i="118"/>
  <c r="N4" i="118" s="1"/>
  <c r="I4" i="118"/>
  <c r="I7" i="118" s="1"/>
  <c r="F4" i="118"/>
  <c r="F7" i="118" s="1"/>
  <c r="F9" i="118" s="1"/>
  <c r="K20" i="117"/>
  <c r="C19" i="117"/>
  <c r="C18" i="117"/>
  <c r="C17" i="117"/>
  <c r="C16" i="117"/>
  <c r="C15" i="117"/>
  <c r="H27" i="117"/>
  <c r="E26" i="117"/>
  <c r="D25" i="117"/>
  <c r="C25" i="117" s="1"/>
  <c r="J24" i="117"/>
  <c r="J16" i="117" s="1"/>
  <c r="B6" i="117" s="1"/>
  <c r="I24" i="117"/>
  <c r="I16" i="117" s="1"/>
  <c r="B5" i="117" s="1"/>
  <c r="H24" i="117"/>
  <c r="H16" i="117" s="1"/>
  <c r="B4" i="117" s="1"/>
  <c r="D24" i="117"/>
  <c r="C24" i="117" s="1"/>
  <c r="C23" i="117"/>
  <c r="C22" i="117"/>
  <c r="K21" i="117"/>
  <c r="C21" i="117"/>
  <c r="P20" i="117"/>
  <c r="L20" i="117"/>
  <c r="C20" i="117"/>
  <c r="H19" i="117"/>
  <c r="L17" i="117"/>
  <c r="M17" i="117" s="1"/>
  <c r="K4" i="117" s="1"/>
  <c r="M16" i="117"/>
  <c r="G5" i="117" s="1"/>
  <c r="L16" i="117"/>
  <c r="L21" i="117" s="1"/>
  <c r="V15" i="117"/>
  <c r="L15" i="117"/>
  <c r="M15" i="117" s="1"/>
  <c r="M4" i="117" s="1"/>
  <c r="C32" i="117"/>
  <c r="O7" i="117"/>
  <c r="E7" i="117"/>
  <c r="R6" i="117"/>
  <c r="P6" i="117"/>
  <c r="N6" i="117"/>
  <c r="L6" i="117"/>
  <c r="J6" i="117"/>
  <c r="H6" i="117"/>
  <c r="F6" i="117"/>
  <c r="X5" i="117"/>
  <c r="S6" i="117" s="1"/>
  <c r="T6" i="117" s="1"/>
  <c r="R5" i="117"/>
  <c r="O5" i="117"/>
  <c r="P5" i="117" s="1"/>
  <c r="L5" i="117"/>
  <c r="I5" i="117"/>
  <c r="J5" i="117" s="1"/>
  <c r="J7" i="117" s="1"/>
  <c r="J9" i="117" s="1"/>
  <c r="F5" i="117"/>
  <c r="R4" i="117"/>
  <c r="P4" i="117"/>
  <c r="P7" i="117" s="1"/>
  <c r="P9" i="117" s="1"/>
  <c r="I4" i="117"/>
  <c r="I7" i="117" s="1"/>
  <c r="G4" i="117"/>
  <c r="H4" i="117" s="1"/>
  <c r="F4" i="117"/>
  <c r="F7" i="117" s="1"/>
  <c r="F9" i="117" s="1"/>
  <c r="X3" i="117"/>
  <c r="S5" i="117" s="1"/>
  <c r="T5" i="117" s="1"/>
  <c r="C18" i="116"/>
  <c r="C17" i="116"/>
  <c r="C16" i="116"/>
  <c r="C15" i="116"/>
  <c r="H27" i="116"/>
  <c r="E26" i="116"/>
  <c r="D25" i="116"/>
  <c r="C25" i="116" s="1"/>
  <c r="J24" i="116"/>
  <c r="I24" i="116"/>
  <c r="I16" i="116" s="1"/>
  <c r="B5" i="116" s="1"/>
  <c r="H24" i="116"/>
  <c r="D24" i="116"/>
  <c r="C24" i="116" s="1"/>
  <c r="X4" i="116" s="1"/>
  <c r="S4" i="116" s="1"/>
  <c r="C23" i="116"/>
  <c r="C22" i="116"/>
  <c r="K21" i="116"/>
  <c r="C21" i="116"/>
  <c r="P20" i="116"/>
  <c r="L20" i="116"/>
  <c r="K20" i="116"/>
  <c r="C20" i="116"/>
  <c r="H19" i="116"/>
  <c r="C19" i="116"/>
  <c r="L17" i="116"/>
  <c r="M17" i="116" s="1"/>
  <c r="K4" i="116" s="1"/>
  <c r="M16" i="116"/>
  <c r="G5" i="116" s="1"/>
  <c r="L16" i="116"/>
  <c r="L21" i="116" s="1"/>
  <c r="J16" i="116"/>
  <c r="B6" i="116" s="1"/>
  <c r="H16" i="116"/>
  <c r="B4" i="116" s="1"/>
  <c r="V15" i="116"/>
  <c r="M15" i="116"/>
  <c r="M4" i="116" s="1"/>
  <c r="N4" i="116" s="1"/>
  <c r="L15" i="116"/>
  <c r="C32" i="116"/>
  <c r="E7" i="116"/>
  <c r="R6" i="116"/>
  <c r="P6" i="116"/>
  <c r="N6" i="116"/>
  <c r="L6" i="116"/>
  <c r="J6" i="116"/>
  <c r="H6" i="116"/>
  <c r="F6" i="116"/>
  <c r="X5" i="116"/>
  <c r="S6" i="116" s="1"/>
  <c r="T6" i="116" s="1"/>
  <c r="R5" i="116"/>
  <c r="O5" i="116"/>
  <c r="P5" i="116" s="1"/>
  <c r="L5" i="116"/>
  <c r="I5" i="116"/>
  <c r="J5" i="116" s="1"/>
  <c r="J7" i="116" s="1"/>
  <c r="J9" i="116" s="1"/>
  <c r="F5" i="116"/>
  <c r="R4" i="116"/>
  <c r="P4" i="116"/>
  <c r="I4" i="116"/>
  <c r="I7" i="116" s="1"/>
  <c r="G4" i="116"/>
  <c r="H4" i="116" s="1"/>
  <c r="F4" i="116"/>
  <c r="F7" i="116" s="1"/>
  <c r="F9" i="116" s="1"/>
  <c r="X3" i="116"/>
  <c r="S5" i="116" s="1"/>
  <c r="T5" i="116" s="1"/>
  <c r="C19" i="115"/>
  <c r="C18" i="115"/>
  <c r="C17" i="115"/>
  <c r="C16" i="115"/>
  <c r="C15" i="115"/>
  <c r="C32" i="115" s="1"/>
  <c r="H27" i="115"/>
  <c r="E26" i="115"/>
  <c r="D25" i="115"/>
  <c r="C25" i="115" s="1"/>
  <c r="J24" i="115"/>
  <c r="I24" i="115"/>
  <c r="I16" i="115" s="1"/>
  <c r="B5" i="115" s="1"/>
  <c r="D5" i="115" s="1"/>
  <c r="H24" i="115"/>
  <c r="H16" i="115" s="1"/>
  <c r="B4" i="115" s="1"/>
  <c r="D24" i="115"/>
  <c r="C24" i="115" s="1"/>
  <c r="C23" i="115"/>
  <c r="C22" i="115"/>
  <c r="K21" i="115"/>
  <c r="C21" i="115"/>
  <c r="P20" i="115"/>
  <c r="L20" i="115"/>
  <c r="K20" i="115" s="1"/>
  <c r="G4" i="115" s="1"/>
  <c r="C20" i="115"/>
  <c r="H19" i="115"/>
  <c r="M17" i="115"/>
  <c r="K4" i="115" s="1"/>
  <c r="L17" i="115"/>
  <c r="L16" i="115"/>
  <c r="M16" i="115" s="1"/>
  <c r="G5" i="115" s="1"/>
  <c r="J16" i="115"/>
  <c r="V15" i="115"/>
  <c r="L15" i="115"/>
  <c r="M15" i="115" s="1"/>
  <c r="M4" i="115" s="1"/>
  <c r="F9" i="115"/>
  <c r="O7" i="115"/>
  <c r="F7" i="115"/>
  <c r="E7" i="115"/>
  <c r="R6" i="115"/>
  <c r="P6" i="115"/>
  <c r="N6" i="115"/>
  <c r="L6" i="115"/>
  <c r="J6" i="115"/>
  <c r="H6" i="115"/>
  <c r="F6" i="115"/>
  <c r="B6" i="115"/>
  <c r="D6" i="115" s="1"/>
  <c r="X5" i="115"/>
  <c r="S6" i="115" s="1"/>
  <c r="R5" i="115"/>
  <c r="O5" i="115"/>
  <c r="P5" i="115" s="1"/>
  <c r="L5" i="115"/>
  <c r="I5" i="115"/>
  <c r="J5" i="115" s="1"/>
  <c r="J7" i="115" s="1"/>
  <c r="J9" i="115" s="1"/>
  <c r="F5" i="115"/>
  <c r="R4" i="115"/>
  <c r="P4" i="115"/>
  <c r="I4" i="115"/>
  <c r="I7" i="115" s="1"/>
  <c r="F4" i="115"/>
  <c r="X3" i="115"/>
  <c r="S5" i="115" s="1"/>
  <c r="T5" i="115" s="1"/>
  <c r="C16" i="114"/>
  <c r="C15" i="114"/>
  <c r="C32" i="114" s="1"/>
  <c r="H27" i="114"/>
  <c r="E26" i="114"/>
  <c r="D25" i="114"/>
  <c r="C25" i="114" s="1"/>
  <c r="J24" i="114"/>
  <c r="I24" i="114"/>
  <c r="I16" i="114" s="1"/>
  <c r="B5" i="114" s="1"/>
  <c r="H24" i="114"/>
  <c r="H16" i="114" s="1"/>
  <c r="B4" i="114" s="1"/>
  <c r="D24" i="114"/>
  <c r="C24" i="114" s="1"/>
  <c r="X4" i="114" s="1"/>
  <c r="S4" i="114" s="1"/>
  <c r="C23" i="114"/>
  <c r="C22" i="114"/>
  <c r="K21" i="114"/>
  <c r="C21" i="114"/>
  <c r="P20" i="114"/>
  <c r="L20" i="114"/>
  <c r="K20" i="114"/>
  <c r="G4" i="114" s="1"/>
  <c r="H4" i="114" s="1"/>
  <c r="C20" i="114"/>
  <c r="H19" i="114"/>
  <c r="C19" i="114"/>
  <c r="C18" i="114"/>
  <c r="L17" i="114"/>
  <c r="M17" i="114" s="1"/>
  <c r="K4" i="114" s="1"/>
  <c r="C17" i="114"/>
  <c r="L16" i="114"/>
  <c r="M16" i="114" s="1"/>
  <c r="G5" i="114" s="1"/>
  <c r="H5" i="114" s="1"/>
  <c r="J16" i="114"/>
  <c r="B6" i="114" s="1"/>
  <c r="V15" i="114"/>
  <c r="M15" i="114"/>
  <c r="L15" i="114"/>
  <c r="E7" i="114"/>
  <c r="R6" i="114"/>
  <c r="P6" i="114"/>
  <c r="N6" i="114"/>
  <c r="L6" i="114"/>
  <c r="J6" i="114"/>
  <c r="H6" i="114"/>
  <c r="F6" i="114"/>
  <c r="X5" i="114"/>
  <c r="S6" i="114" s="1"/>
  <c r="T6" i="114" s="1"/>
  <c r="R5" i="114"/>
  <c r="O5" i="114"/>
  <c r="P5" i="114" s="1"/>
  <c r="L5" i="114"/>
  <c r="I5" i="114"/>
  <c r="J5" i="114" s="1"/>
  <c r="J7" i="114" s="1"/>
  <c r="J9" i="114" s="1"/>
  <c r="F5" i="114"/>
  <c r="R4" i="114"/>
  <c r="P4" i="114"/>
  <c r="M4" i="114"/>
  <c r="N4" i="114" s="1"/>
  <c r="I4" i="114"/>
  <c r="I7" i="114" s="1"/>
  <c r="F4" i="114"/>
  <c r="F7" i="114" s="1"/>
  <c r="F9" i="114" s="1"/>
  <c r="X3" i="114"/>
  <c r="S5" i="114" s="1"/>
  <c r="T5" i="114" s="1"/>
  <c r="C19" i="113"/>
  <c r="C18" i="113"/>
  <c r="C17" i="113"/>
  <c r="C16" i="113"/>
  <c r="C15" i="113"/>
  <c r="C32" i="113" s="1"/>
  <c r="C17" i="112"/>
  <c r="C16" i="112"/>
  <c r="C15" i="112"/>
  <c r="H27" i="113"/>
  <c r="E26" i="113"/>
  <c r="D25" i="113"/>
  <c r="C25" i="113" s="1"/>
  <c r="J24" i="113"/>
  <c r="I24" i="113"/>
  <c r="I16" i="113" s="1"/>
  <c r="B5" i="113" s="1"/>
  <c r="H24" i="113"/>
  <c r="H16" i="113" s="1"/>
  <c r="B4" i="113" s="1"/>
  <c r="D24" i="113"/>
  <c r="C24" i="113" s="1"/>
  <c r="X4" i="113" s="1"/>
  <c r="S4" i="113" s="1"/>
  <c r="C23" i="113"/>
  <c r="C22" i="113"/>
  <c r="K21" i="113"/>
  <c r="C21" i="113"/>
  <c r="P20" i="113"/>
  <c r="L20" i="113"/>
  <c r="K20" i="113"/>
  <c r="G4" i="113" s="1"/>
  <c r="H4" i="113" s="1"/>
  <c r="C20" i="113"/>
  <c r="L19" i="113"/>
  <c r="M19" i="113" s="1"/>
  <c r="M5" i="113" s="1"/>
  <c r="H19" i="113"/>
  <c r="L17" i="113"/>
  <c r="M17" i="113" s="1"/>
  <c r="K4" i="113" s="1"/>
  <c r="L16" i="113"/>
  <c r="M16" i="113" s="1"/>
  <c r="G5" i="113" s="1"/>
  <c r="H5" i="113" s="1"/>
  <c r="J16" i="113"/>
  <c r="B6" i="113" s="1"/>
  <c r="V15" i="113"/>
  <c r="M15" i="113"/>
  <c r="M4" i="113" s="1"/>
  <c r="N4" i="113" s="1"/>
  <c r="L15" i="113"/>
  <c r="F9" i="113"/>
  <c r="F7" i="113"/>
  <c r="E7" i="113"/>
  <c r="R6" i="113"/>
  <c r="P6" i="113"/>
  <c r="N6" i="113"/>
  <c r="L6" i="113"/>
  <c r="J6" i="113"/>
  <c r="H6" i="113"/>
  <c r="F6" i="113"/>
  <c r="X5" i="113"/>
  <c r="S6" i="113" s="1"/>
  <c r="T6" i="113" s="1"/>
  <c r="R5" i="113"/>
  <c r="O5" i="113"/>
  <c r="P5" i="113" s="1"/>
  <c r="L5" i="113"/>
  <c r="I5" i="113"/>
  <c r="J5" i="113" s="1"/>
  <c r="J7" i="113" s="1"/>
  <c r="J9" i="113" s="1"/>
  <c r="F5" i="113"/>
  <c r="R4" i="113"/>
  <c r="P4" i="113"/>
  <c r="P7" i="113" s="1"/>
  <c r="P9" i="113" s="1"/>
  <c r="I4" i="113"/>
  <c r="I7" i="113" s="1"/>
  <c r="F4" i="113"/>
  <c r="X3" i="113"/>
  <c r="S5" i="113" s="1"/>
  <c r="T5" i="113" s="1"/>
  <c r="H27" i="112"/>
  <c r="E26" i="112"/>
  <c r="D25" i="112"/>
  <c r="C25" i="112" s="1"/>
  <c r="J24" i="112"/>
  <c r="J16" i="112" s="1"/>
  <c r="B6" i="112" s="1"/>
  <c r="I24" i="112"/>
  <c r="I16" i="112" s="1"/>
  <c r="B5" i="112" s="1"/>
  <c r="H24" i="112"/>
  <c r="D24" i="112"/>
  <c r="C24" i="112" s="1"/>
  <c r="X4" i="112" s="1"/>
  <c r="S4" i="112" s="1"/>
  <c r="C23" i="112"/>
  <c r="C22" i="112"/>
  <c r="K21" i="112"/>
  <c r="C21" i="112"/>
  <c r="P20" i="112"/>
  <c r="L20" i="112"/>
  <c r="K20" i="112" s="1"/>
  <c r="G4" i="112" s="1"/>
  <c r="C20" i="112"/>
  <c r="H19" i="112"/>
  <c r="C19" i="112"/>
  <c r="C18" i="112"/>
  <c r="M17" i="112"/>
  <c r="K4" i="112" s="1"/>
  <c r="L17" i="112"/>
  <c r="L16" i="112"/>
  <c r="L19" i="112" s="1"/>
  <c r="M19" i="112" s="1"/>
  <c r="M5" i="112" s="1"/>
  <c r="H16" i="112"/>
  <c r="B4" i="112" s="1"/>
  <c r="V15" i="112"/>
  <c r="M15" i="112"/>
  <c r="L15" i="112"/>
  <c r="C32" i="112"/>
  <c r="F9" i="112"/>
  <c r="F7" i="112"/>
  <c r="E7" i="112"/>
  <c r="R6" i="112"/>
  <c r="P6" i="112"/>
  <c r="N6" i="112"/>
  <c r="L6" i="112"/>
  <c r="J6" i="112"/>
  <c r="H6" i="112"/>
  <c r="F6" i="112"/>
  <c r="X5" i="112"/>
  <c r="S6" i="112" s="1"/>
  <c r="T6" i="112" s="1"/>
  <c r="R5" i="112"/>
  <c r="O5" i="112"/>
  <c r="P5" i="112" s="1"/>
  <c r="L5" i="112"/>
  <c r="I5" i="112"/>
  <c r="J5" i="112" s="1"/>
  <c r="J7" i="112" s="1"/>
  <c r="J9" i="112" s="1"/>
  <c r="F5" i="112"/>
  <c r="R4" i="112"/>
  <c r="P4" i="112"/>
  <c r="P7" i="112" s="1"/>
  <c r="P9" i="112" s="1"/>
  <c r="M4" i="112"/>
  <c r="N4" i="112" s="1"/>
  <c r="I4" i="112"/>
  <c r="F4" i="112"/>
  <c r="X3" i="112"/>
  <c r="S5" i="112" s="1"/>
  <c r="T5" i="112" s="1"/>
  <c r="C18" i="111"/>
  <c r="C17" i="111"/>
  <c r="C16" i="111"/>
  <c r="C15" i="111"/>
  <c r="H27" i="111"/>
  <c r="E26" i="111"/>
  <c r="D25" i="111"/>
  <c r="C25" i="111" s="1"/>
  <c r="J24" i="111"/>
  <c r="J16" i="111" s="1"/>
  <c r="B6" i="111" s="1"/>
  <c r="I24" i="111"/>
  <c r="I16" i="111" s="1"/>
  <c r="B5" i="111" s="1"/>
  <c r="H24" i="111"/>
  <c r="H16" i="111" s="1"/>
  <c r="B4" i="111" s="1"/>
  <c r="D24" i="111"/>
  <c r="C24" i="111" s="1"/>
  <c r="C23" i="111"/>
  <c r="C22" i="111"/>
  <c r="K21" i="111"/>
  <c r="M21" i="111" s="1"/>
  <c r="C21" i="111"/>
  <c r="P20" i="111"/>
  <c r="L20" i="111"/>
  <c r="K20" i="111"/>
  <c r="G4" i="111" s="1"/>
  <c r="H4" i="111" s="1"/>
  <c r="C20" i="111"/>
  <c r="H19" i="111"/>
  <c r="C19" i="111"/>
  <c r="L17" i="111"/>
  <c r="M17" i="111" s="1"/>
  <c r="K4" i="111" s="1"/>
  <c r="M16" i="111"/>
  <c r="G5" i="111" s="1"/>
  <c r="L16" i="111"/>
  <c r="L21" i="111" s="1"/>
  <c r="V15" i="111"/>
  <c r="L15" i="111"/>
  <c r="M15" i="111" s="1"/>
  <c r="M4" i="111" s="1"/>
  <c r="C32" i="111"/>
  <c r="O7" i="111"/>
  <c r="E7" i="111"/>
  <c r="R6" i="111"/>
  <c r="P6" i="111"/>
  <c r="N6" i="111"/>
  <c r="L6" i="111"/>
  <c r="J6" i="111"/>
  <c r="H6" i="111"/>
  <c r="F6" i="111"/>
  <c r="X5" i="111"/>
  <c r="S6" i="111" s="1"/>
  <c r="T6" i="111" s="1"/>
  <c r="R5" i="111"/>
  <c r="O5" i="111"/>
  <c r="P5" i="111" s="1"/>
  <c r="L5" i="111"/>
  <c r="I5" i="111"/>
  <c r="J5" i="111" s="1"/>
  <c r="J7" i="111" s="1"/>
  <c r="J9" i="111" s="1"/>
  <c r="F5" i="111"/>
  <c r="R4" i="111"/>
  <c r="P4" i="111"/>
  <c r="P7" i="111" s="1"/>
  <c r="P9" i="111" s="1"/>
  <c r="I4" i="111"/>
  <c r="I7" i="111" s="1"/>
  <c r="F4" i="111"/>
  <c r="F7" i="111" s="1"/>
  <c r="F9" i="111" s="1"/>
  <c r="X3" i="111"/>
  <c r="S5" i="111" s="1"/>
  <c r="T5" i="111" s="1"/>
  <c r="R4" i="110"/>
  <c r="C15" i="110"/>
  <c r="H27" i="110"/>
  <c r="E26" i="110"/>
  <c r="D25" i="110"/>
  <c r="C25" i="110" s="1"/>
  <c r="J24" i="110"/>
  <c r="I24" i="110"/>
  <c r="I16" i="110" s="1"/>
  <c r="B5" i="110" s="1"/>
  <c r="H24" i="110"/>
  <c r="D24" i="110"/>
  <c r="C24" i="110" s="1"/>
  <c r="X4" i="110" s="1"/>
  <c r="S4" i="110" s="1"/>
  <c r="C23" i="110"/>
  <c r="C22" i="110"/>
  <c r="K21" i="110"/>
  <c r="C21" i="110"/>
  <c r="P20" i="110"/>
  <c r="L20" i="110"/>
  <c r="K20" i="110" s="1"/>
  <c r="G4" i="110" s="1"/>
  <c r="C20" i="110"/>
  <c r="H19" i="110"/>
  <c r="C19" i="110"/>
  <c r="C18" i="110"/>
  <c r="M17" i="110"/>
  <c r="L17" i="110"/>
  <c r="C17" i="110"/>
  <c r="L16" i="110"/>
  <c r="L19" i="110" s="1"/>
  <c r="M19" i="110" s="1"/>
  <c r="M5" i="110" s="1"/>
  <c r="J16" i="110"/>
  <c r="B6" i="110" s="1"/>
  <c r="H16" i="110"/>
  <c r="B4" i="110" s="1"/>
  <c r="C16" i="110"/>
  <c r="V15" i="110"/>
  <c r="M15" i="110"/>
  <c r="L15" i="110"/>
  <c r="F9" i="110"/>
  <c r="K7" i="110"/>
  <c r="F7" i="110"/>
  <c r="E7" i="110"/>
  <c r="R6" i="110"/>
  <c r="P6" i="110"/>
  <c r="N6" i="110"/>
  <c r="L6" i="110"/>
  <c r="J6" i="110"/>
  <c r="H6" i="110"/>
  <c r="F6" i="110"/>
  <c r="X5" i="110"/>
  <c r="S6" i="110" s="1"/>
  <c r="T6" i="110" s="1"/>
  <c r="R5" i="110"/>
  <c r="O5" i="110"/>
  <c r="P5" i="110" s="1"/>
  <c r="L5" i="110"/>
  <c r="I5" i="110"/>
  <c r="J5" i="110" s="1"/>
  <c r="J7" i="110" s="1"/>
  <c r="J9" i="110" s="1"/>
  <c r="F5" i="110"/>
  <c r="P4" i="110"/>
  <c r="P7" i="110" s="1"/>
  <c r="P9" i="110" s="1"/>
  <c r="M4" i="110"/>
  <c r="N4" i="110" s="1"/>
  <c r="K4" i="110"/>
  <c r="L4" i="110" s="1"/>
  <c r="L7" i="110" s="1"/>
  <c r="L9" i="110" s="1"/>
  <c r="I4" i="110"/>
  <c r="F4" i="110"/>
  <c r="X3" i="110"/>
  <c r="S5" i="110" s="1"/>
  <c r="T5" i="110" s="1"/>
  <c r="R4" i="109"/>
  <c r="C23" i="109"/>
  <c r="C22" i="109"/>
  <c r="C21" i="109"/>
  <c r="C20" i="109"/>
  <c r="C19" i="109"/>
  <c r="C18" i="109"/>
  <c r="C17" i="109"/>
  <c r="C16" i="109"/>
  <c r="C32" i="109" s="1"/>
  <c r="C15" i="109"/>
  <c r="D46" i="102"/>
  <c r="H27" i="109"/>
  <c r="E26" i="109"/>
  <c r="D25" i="109"/>
  <c r="C25" i="109" s="1"/>
  <c r="J24" i="109"/>
  <c r="I24" i="109"/>
  <c r="I16" i="109" s="1"/>
  <c r="B5" i="109" s="1"/>
  <c r="H24" i="109"/>
  <c r="D24" i="109"/>
  <c r="C24" i="109" s="1"/>
  <c r="K21" i="109"/>
  <c r="P20" i="109"/>
  <c r="L20" i="109"/>
  <c r="K20" i="109" s="1"/>
  <c r="G4" i="109" s="1"/>
  <c r="H19" i="109"/>
  <c r="M17" i="109"/>
  <c r="K4" i="109" s="1"/>
  <c r="L17" i="109"/>
  <c r="L16" i="109"/>
  <c r="L21" i="109" s="1"/>
  <c r="J16" i="109"/>
  <c r="B6" i="109" s="1"/>
  <c r="H16" i="109"/>
  <c r="B4" i="109" s="1"/>
  <c r="V15" i="109"/>
  <c r="M15" i="109"/>
  <c r="M4" i="109" s="1"/>
  <c r="L15" i="109"/>
  <c r="E7" i="109"/>
  <c r="R6" i="109"/>
  <c r="P6" i="109"/>
  <c r="N6" i="109"/>
  <c r="L6" i="109"/>
  <c r="J6" i="109"/>
  <c r="H6" i="109"/>
  <c r="F6" i="109"/>
  <c r="X5" i="109"/>
  <c r="S6" i="109" s="1"/>
  <c r="T6" i="109" s="1"/>
  <c r="R5" i="109"/>
  <c r="O5" i="109"/>
  <c r="O7" i="109" s="1"/>
  <c r="L5" i="109"/>
  <c r="I5" i="109"/>
  <c r="J5" i="109" s="1"/>
  <c r="J7" i="109" s="1"/>
  <c r="J9" i="109" s="1"/>
  <c r="F5" i="109"/>
  <c r="P4" i="109"/>
  <c r="I4" i="109"/>
  <c r="I7" i="109" s="1"/>
  <c r="F4" i="109"/>
  <c r="F7" i="109" s="1"/>
  <c r="F9" i="109" s="1"/>
  <c r="C18" i="108"/>
  <c r="C17" i="108"/>
  <c r="C16" i="108"/>
  <c r="C15" i="108"/>
  <c r="C32" i="108" s="1"/>
  <c r="D37" i="102"/>
  <c r="H27" i="108"/>
  <c r="E26" i="108"/>
  <c r="D25" i="108"/>
  <c r="C25" i="108" s="1"/>
  <c r="J24" i="108"/>
  <c r="J16" i="108" s="1"/>
  <c r="B6" i="108" s="1"/>
  <c r="I24" i="108"/>
  <c r="I16" i="108" s="1"/>
  <c r="B5" i="108" s="1"/>
  <c r="H24" i="108"/>
  <c r="H16" i="108" s="1"/>
  <c r="B4" i="108" s="1"/>
  <c r="D24" i="108"/>
  <c r="C24" i="108" s="1"/>
  <c r="D23" i="108"/>
  <c r="C23" i="108" s="1"/>
  <c r="D22" i="108"/>
  <c r="C22" i="108" s="1"/>
  <c r="K21" i="108"/>
  <c r="D21" i="108"/>
  <c r="C21" i="108" s="1"/>
  <c r="P20" i="108"/>
  <c r="L20" i="108"/>
  <c r="K20" i="108"/>
  <c r="G4" i="108" s="1"/>
  <c r="C20" i="108"/>
  <c r="H19" i="108"/>
  <c r="C19" i="108"/>
  <c r="L17" i="108"/>
  <c r="M17" i="108" s="1"/>
  <c r="K4" i="108" s="1"/>
  <c r="L16" i="108"/>
  <c r="L21" i="108" s="1"/>
  <c r="V15" i="108"/>
  <c r="M15" i="108"/>
  <c r="M4" i="108" s="1"/>
  <c r="L15" i="108"/>
  <c r="E7" i="108"/>
  <c r="R6" i="108"/>
  <c r="P6" i="108"/>
  <c r="N6" i="108"/>
  <c r="L6" i="108"/>
  <c r="J6" i="108"/>
  <c r="H6" i="108"/>
  <c r="F6" i="108"/>
  <c r="X5" i="108"/>
  <c r="S6" i="108" s="1"/>
  <c r="T6" i="108" s="1"/>
  <c r="R5" i="108"/>
  <c r="O5" i="108"/>
  <c r="O7" i="108" s="1"/>
  <c r="L5" i="108"/>
  <c r="I5" i="108"/>
  <c r="J5" i="108" s="1"/>
  <c r="J7" i="108" s="1"/>
  <c r="J9" i="108" s="1"/>
  <c r="F5" i="108"/>
  <c r="R4" i="108"/>
  <c r="R7" i="108" s="1"/>
  <c r="R9" i="108" s="1"/>
  <c r="P4" i="108"/>
  <c r="I4" i="108"/>
  <c r="F4" i="108"/>
  <c r="F7" i="108" s="1"/>
  <c r="F9" i="108" s="1"/>
  <c r="C19" i="107"/>
  <c r="C18" i="107"/>
  <c r="C17" i="107"/>
  <c r="C16" i="107"/>
  <c r="C15" i="107"/>
  <c r="C32" i="107" s="1"/>
  <c r="H27" i="107"/>
  <c r="E26" i="107"/>
  <c r="D25" i="107"/>
  <c r="C25" i="107" s="1"/>
  <c r="J24" i="107"/>
  <c r="J16" i="107" s="1"/>
  <c r="B6" i="107" s="1"/>
  <c r="I24" i="107"/>
  <c r="I16" i="107" s="1"/>
  <c r="B5" i="107" s="1"/>
  <c r="H24" i="107"/>
  <c r="D24" i="107"/>
  <c r="C24" i="107" s="1"/>
  <c r="D23" i="107"/>
  <c r="C23" i="107" s="1"/>
  <c r="D22" i="107"/>
  <c r="C22" i="107" s="1"/>
  <c r="K21" i="107"/>
  <c r="D21" i="107"/>
  <c r="C21" i="107" s="1"/>
  <c r="P20" i="107"/>
  <c r="L20" i="107"/>
  <c r="K20" i="107"/>
  <c r="C20" i="107"/>
  <c r="H19" i="107"/>
  <c r="L17" i="107"/>
  <c r="M17" i="107" s="1"/>
  <c r="K4" i="107" s="1"/>
  <c r="L16" i="107"/>
  <c r="L21" i="107" s="1"/>
  <c r="M21" i="107" s="1"/>
  <c r="H16" i="107"/>
  <c r="B4" i="107" s="1"/>
  <c r="V15" i="107"/>
  <c r="M15" i="107"/>
  <c r="M4" i="107" s="1"/>
  <c r="L15" i="107"/>
  <c r="I7" i="107"/>
  <c r="E7" i="107"/>
  <c r="R6" i="107"/>
  <c r="P6" i="107"/>
  <c r="N6" i="107"/>
  <c r="L6" i="107"/>
  <c r="J6" i="107"/>
  <c r="H6" i="107"/>
  <c r="F6" i="107"/>
  <c r="X5" i="107"/>
  <c r="S6" i="107" s="1"/>
  <c r="T6" i="107" s="1"/>
  <c r="R5" i="107"/>
  <c r="O5" i="107"/>
  <c r="O7" i="107" s="1"/>
  <c r="L5" i="107"/>
  <c r="I5" i="107"/>
  <c r="J5" i="107" s="1"/>
  <c r="J7" i="107" s="1"/>
  <c r="J9" i="107" s="1"/>
  <c r="F5" i="107"/>
  <c r="R4" i="107"/>
  <c r="P4" i="107"/>
  <c r="I4" i="107"/>
  <c r="G4" i="107"/>
  <c r="F4" i="107"/>
  <c r="F7" i="107" s="1"/>
  <c r="F9" i="107" s="1"/>
  <c r="C16" i="106"/>
  <c r="C15" i="106"/>
  <c r="H27" i="106"/>
  <c r="E26" i="106"/>
  <c r="D25" i="106"/>
  <c r="C25" i="106" s="1"/>
  <c r="J24" i="106"/>
  <c r="J16" i="106" s="1"/>
  <c r="B6" i="106" s="1"/>
  <c r="I24" i="106"/>
  <c r="I16" i="106" s="1"/>
  <c r="B5" i="106" s="1"/>
  <c r="H24" i="106"/>
  <c r="D24" i="106"/>
  <c r="C24" i="106" s="1"/>
  <c r="D23" i="106"/>
  <c r="C23" i="106" s="1"/>
  <c r="D22" i="106"/>
  <c r="C22" i="106" s="1"/>
  <c r="K21" i="106"/>
  <c r="D21" i="106"/>
  <c r="C21" i="106" s="1"/>
  <c r="P20" i="106"/>
  <c r="L20" i="106"/>
  <c r="K20" i="106"/>
  <c r="G4" i="106" s="1"/>
  <c r="C20" i="106"/>
  <c r="H19" i="106"/>
  <c r="C19" i="106"/>
  <c r="C18" i="106"/>
  <c r="L17" i="106"/>
  <c r="M17" i="106" s="1"/>
  <c r="K4" i="106" s="1"/>
  <c r="C17" i="106"/>
  <c r="L16" i="106"/>
  <c r="L21" i="106" s="1"/>
  <c r="H16" i="106"/>
  <c r="B4" i="106" s="1"/>
  <c r="V15" i="106"/>
  <c r="M15" i="106"/>
  <c r="M4" i="106" s="1"/>
  <c r="L15" i="106"/>
  <c r="C32" i="106"/>
  <c r="I7" i="106"/>
  <c r="E7" i="106"/>
  <c r="R6" i="106"/>
  <c r="P6" i="106"/>
  <c r="N6" i="106"/>
  <c r="L6" i="106"/>
  <c r="J6" i="106"/>
  <c r="H6" i="106"/>
  <c r="F6" i="106"/>
  <c r="X5" i="106"/>
  <c r="S6" i="106" s="1"/>
  <c r="T6" i="106" s="1"/>
  <c r="R5" i="106"/>
  <c r="O5" i="106"/>
  <c r="O7" i="106" s="1"/>
  <c r="L5" i="106"/>
  <c r="I5" i="106"/>
  <c r="J5" i="106" s="1"/>
  <c r="J7" i="106" s="1"/>
  <c r="J9" i="106" s="1"/>
  <c r="F5" i="106"/>
  <c r="R4" i="106"/>
  <c r="P4" i="106"/>
  <c r="I4" i="106"/>
  <c r="F4" i="106"/>
  <c r="F7" i="106" s="1"/>
  <c r="F9" i="106" s="1"/>
  <c r="C20" i="105"/>
  <c r="C19" i="105"/>
  <c r="C18" i="105"/>
  <c r="C17" i="105"/>
  <c r="C16" i="105"/>
  <c r="C15" i="105"/>
  <c r="C32" i="105" s="1"/>
  <c r="H27" i="105"/>
  <c r="E26" i="105"/>
  <c r="D25" i="105"/>
  <c r="C25" i="105"/>
  <c r="J24" i="105"/>
  <c r="J16" i="105" s="1"/>
  <c r="B6" i="105" s="1"/>
  <c r="I24" i="105"/>
  <c r="I16" i="105" s="1"/>
  <c r="B5" i="105" s="1"/>
  <c r="H24" i="105"/>
  <c r="H16" i="105" s="1"/>
  <c r="B4" i="105" s="1"/>
  <c r="D24" i="105"/>
  <c r="C24" i="105" s="1"/>
  <c r="X4" i="105" s="1"/>
  <c r="S4" i="105" s="1"/>
  <c r="D23" i="105"/>
  <c r="C23" i="105" s="1"/>
  <c r="D22" i="105"/>
  <c r="C22" i="105"/>
  <c r="K21" i="105"/>
  <c r="D21" i="105"/>
  <c r="C21" i="105" s="1"/>
  <c r="P20" i="105"/>
  <c r="L20" i="105"/>
  <c r="K20" i="105"/>
  <c r="G4" i="105" s="1"/>
  <c r="H19" i="105"/>
  <c r="L17" i="105"/>
  <c r="M17" i="105" s="1"/>
  <c r="K4" i="105" s="1"/>
  <c r="L16" i="105"/>
  <c r="L21" i="105" s="1"/>
  <c r="V15" i="105"/>
  <c r="M15" i="105"/>
  <c r="M4" i="105" s="1"/>
  <c r="L15" i="105"/>
  <c r="I7" i="105"/>
  <c r="E7" i="105"/>
  <c r="R6" i="105"/>
  <c r="P6" i="105"/>
  <c r="N6" i="105"/>
  <c r="L6" i="105"/>
  <c r="J6" i="105"/>
  <c r="H6" i="105"/>
  <c r="F6" i="105"/>
  <c r="X5" i="105"/>
  <c r="S6" i="105" s="1"/>
  <c r="T6" i="105" s="1"/>
  <c r="R5" i="105"/>
  <c r="O5" i="105"/>
  <c r="O7" i="105" s="1"/>
  <c r="L5" i="105"/>
  <c r="I5" i="105"/>
  <c r="J5" i="105" s="1"/>
  <c r="J7" i="105" s="1"/>
  <c r="J9" i="105" s="1"/>
  <c r="F5" i="105"/>
  <c r="R4" i="105"/>
  <c r="P4" i="105"/>
  <c r="I4" i="105"/>
  <c r="F4" i="105"/>
  <c r="F7" i="105" s="1"/>
  <c r="F9" i="105" s="1"/>
  <c r="C20" i="104"/>
  <c r="C19" i="104"/>
  <c r="C18" i="104"/>
  <c r="C17" i="104"/>
  <c r="C16" i="104"/>
  <c r="C15" i="104"/>
  <c r="C32" i="104" s="1"/>
  <c r="H27" i="104"/>
  <c r="E26" i="104"/>
  <c r="D25" i="104"/>
  <c r="C25" i="104" s="1"/>
  <c r="J24" i="104"/>
  <c r="J16" i="104" s="1"/>
  <c r="B6" i="104" s="1"/>
  <c r="I24" i="104"/>
  <c r="I16" i="104" s="1"/>
  <c r="B5" i="104" s="1"/>
  <c r="H24" i="104"/>
  <c r="H16" i="104" s="1"/>
  <c r="B4" i="104" s="1"/>
  <c r="D24" i="104"/>
  <c r="C24" i="104" s="1"/>
  <c r="D23" i="104"/>
  <c r="C23" i="104" s="1"/>
  <c r="D22" i="104"/>
  <c r="C22" i="104" s="1"/>
  <c r="K21" i="104"/>
  <c r="D21" i="104"/>
  <c r="C21" i="104"/>
  <c r="P20" i="104"/>
  <c r="L20" i="104"/>
  <c r="K20" i="104"/>
  <c r="G4" i="104" s="1"/>
  <c r="H19" i="104"/>
  <c r="L17" i="104"/>
  <c r="M17" i="104" s="1"/>
  <c r="K4" i="104" s="1"/>
  <c r="L16" i="104"/>
  <c r="L21" i="104" s="1"/>
  <c r="V15" i="104"/>
  <c r="L15" i="104"/>
  <c r="M15" i="104" s="1"/>
  <c r="M4" i="104" s="1"/>
  <c r="F9" i="104"/>
  <c r="O7" i="104"/>
  <c r="F7" i="104"/>
  <c r="E7" i="104"/>
  <c r="R6" i="104"/>
  <c r="P6" i="104"/>
  <c r="N6" i="104"/>
  <c r="L6" i="104"/>
  <c r="J6" i="104"/>
  <c r="H6" i="104"/>
  <c r="F6" i="104"/>
  <c r="X5" i="104"/>
  <c r="S6" i="104" s="1"/>
  <c r="T6" i="104" s="1"/>
  <c r="R5" i="104"/>
  <c r="O5" i="104"/>
  <c r="P5" i="104" s="1"/>
  <c r="L5" i="104"/>
  <c r="I5" i="104"/>
  <c r="J5" i="104" s="1"/>
  <c r="J7" i="104" s="1"/>
  <c r="J9" i="104" s="1"/>
  <c r="F5" i="104"/>
  <c r="R4" i="104"/>
  <c r="P4" i="104"/>
  <c r="I4" i="104"/>
  <c r="I7" i="104" s="1"/>
  <c r="F4" i="104"/>
  <c r="C17" i="101"/>
  <c r="C16" i="101"/>
  <c r="C15" i="101"/>
  <c r="H27" i="103"/>
  <c r="E26" i="103"/>
  <c r="D25" i="103"/>
  <c r="C25" i="103"/>
  <c r="J24" i="103"/>
  <c r="J16" i="103" s="1"/>
  <c r="B6" i="103" s="1"/>
  <c r="I24" i="103"/>
  <c r="I16" i="103" s="1"/>
  <c r="B5" i="103" s="1"/>
  <c r="H24" i="103"/>
  <c r="D24" i="103"/>
  <c r="C24" i="103"/>
  <c r="D23" i="103"/>
  <c r="C23" i="103"/>
  <c r="D22" i="103"/>
  <c r="C22" i="103"/>
  <c r="K21" i="103"/>
  <c r="D21" i="103"/>
  <c r="C21" i="103"/>
  <c r="P20" i="103"/>
  <c r="L20" i="103"/>
  <c r="K20" i="103"/>
  <c r="G4" i="103" s="1"/>
  <c r="D20" i="103"/>
  <c r="C20" i="103" s="1"/>
  <c r="X4" i="103" s="1"/>
  <c r="S4" i="103" s="1"/>
  <c r="H19" i="103"/>
  <c r="D19" i="103"/>
  <c r="C19" i="103"/>
  <c r="D18" i="103"/>
  <c r="C18" i="103"/>
  <c r="X3" i="103" s="1"/>
  <c r="S5" i="103" s="1"/>
  <c r="T5" i="103" s="1"/>
  <c r="L17" i="103"/>
  <c r="M17" i="103" s="1"/>
  <c r="K4" i="103" s="1"/>
  <c r="C17" i="103"/>
  <c r="L16" i="103"/>
  <c r="L21" i="103" s="1"/>
  <c r="M21" i="103" s="1"/>
  <c r="H16" i="103"/>
  <c r="B4" i="103" s="1"/>
  <c r="C16" i="103"/>
  <c r="V15" i="103"/>
  <c r="L15" i="103"/>
  <c r="M15" i="103" s="1"/>
  <c r="M4" i="103" s="1"/>
  <c r="C15" i="103"/>
  <c r="C32" i="103" s="1"/>
  <c r="F9" i="103"/>
  <c r="O7" i="103"/>
  <c r="F7" i="103"/>
  <c r="E7" i="103"/>
  <c r="R6" i="103"/>
  <c r="P6" i="103"/>
  <c r="N6" i="103"/>
  <c r="L6" i="103"/>
  <c r="J6" i="103"/>
  <c r="H6" i="103"/>
  <c r="F6" i="103"/>
  <c r="X5" i="103"/>
  <c r="S6" i="103" s="1"/>
  <c r="T6" i="103" s="1"/>
  <c r="R5" i="103"/>
  <c r="O5" i="103"/>
  <c r="P5" i="103" s="1"/>
  <c r="L5" i="103"/>
  <c r="I5" i="103"/>
  <c r="J5" i="103" s="1"/>
  <c r="J7" i="103" s="1"/>
  <c r="J9" i="103" s="1"/>
  <c r="F5" i="103"/>
  <c r="R4" i="103"/>
  <c r="R7" i="103" s="1"/>
  <c r="R9" i="103" s="1"/>
  <c r="P4" i="103"/>
  <c r="I4" i="103"/>
  <c r="I7" i="103" s="1"/>
  <c r="F4" i="103"/>
  <c r="D156" i="102"/>
  <c r="D157" i="102"/>
  <c r="D151" i="102"/>
  <c r="D152" i="102"/>
  <c r="D153" i="102"/>
  <c r="D146" i="102"/>
  <c r="D136" i="102"/>
  <c r="D137" i="102"/>
  <c r="D138" i="102"/>
  <c r="D139" i="102"/>
  <c r="D140" i="102"/>
  <c r="D141" i="102"/>
  <c r="D132" i="102"/>
  <c r="D133" i="102"/>
  <c r="D125" i="102"/>
  <c r="D118" i="102"/>
  <c r="D119" i="102"/>
  <c r="D120" i="102"/>
  <c r="D121" i="102"/>
  <c r="D112" i="102"/>
  <c r="D113" i="102"/>
  <c r="D114" i="102"/>
  <c r="D115" i="102"/>
  <c r="D108" i="102"/>
  <c r="D94" i="102"/>
  <c r="D89" i="102"/>
  <c r="D90" i="102"/>
  <c r="D91" i="102"/>
  <c r="D85" i="102"/>
  <c r="D78" i="102"/>
  <c r="D79" i="102"/>
  <c r="D80" i="102"/>
  <c r="D72" i="102"/>
  <c r="D73" i="102"/>
  <c r="D74" i="102"/>
  <c r="D75" i="102"/>
  <c r="D63" i="102"/>
  <c r="D64" i="102"/>
  <c r="D65" i="102"/>
  <c r="D66" i="102"/>
  <c r="D62" i="102"/>
  <c r="D68" i="102"/>
  <c r="D69" i="102"/>
  <c r="D54" i="102"/>
  <c r="D55" i="102"/>
  <c r="D56" i="102"/>
  <c r="D53" i="102"/>
  <c r="D41" i="102"/>
  <c r="D31" i="102"/>
  <c r="D32" i="102"/>
  <c r="D33" i="102"/>
  <c r="D34" i="102"/>
  <c r="D30" i="102"/>
  <c r="D21" i="102"/>
  <c r="D22" i="102"/>
  <c r="D23" i="102"/>
  <c r="D24" i="102"/>
  <c r="D25" i="102"/>
  <c r="D14" i="102"/>
  <c r="D15" i="102"/>
  <c r="D16" i="102"/>
  <c r="D17" i="102"/>
  <c r="D18" i="102"/>
  <c r="D13" i="102"/>
  <c r="D155" i="102"/>
  <c r="D143" i="102"/>
  <c r="D144" i="102"/>
  <c r="D147" i="102"/>
  <c r="D148" i="102"/>
  <c r="D150" i="102"/>
  <c r="D117" i="102"/>
  <c r="D123" i="102"/>
  <c r="D124" i="102"/>
  <c r="D126" i="102"/>
  <c r="D127" i="102"/>
  <c r="D128" i="102"/>
  <c r="D129" i="102"/>
  <c r="D131" i="102"/>
  <c r="D135" i="102"/>
  <c r="D111" i="102"/>
  <c r="D109" i="102"/>
  <c r="D106" i="102"/>
  <c r="D105" i="102"/>
  <c r="D104" i="102"/>
  <c r="D103" i="102"/>
  <c r="D102" i="102"/>
  <c r="D100" i="102"/>
  <c r="D99" i="102"/>
  <c r="D98" i="102"/>
  <c r="D96" i="102"/>
  <c r="D95" i="102"/>
  <c r="D93" i="102"/>
  <c r="D88" i="102"/>
  <c r="D86" i="102"/>
  <c r="D84" i="102"/>
  <c r="D83" i="102"/>
  <c r="D82" i="102"/>
  <c r="D77" i="102"/>
  <c r="D71" i="102"/>
  <c r="D60" i="102"/>
  <c r="D59" i="102"/>
  <c r="D58" i="102"/>
  <c r="D51" i="102"/>
  <c r="D39" i="102"/>
  <c r="D38" i="102"/>
  <c r="D49" i="102"/>
  <c r="D48" i="102"/>
  <c r="D47" i="102"/>
  <c r="D45" i="102"/>
  <c r="D44" i="102"/>
  <c r="D43" i="102"/>
  <c r="D42" i="102"/>
  <c r="D36" i="102"/>
  <c r="D28" i="102"/>
  <c r="D27" i="102"/>
  <c r="D20" i="102"/>
  <c r="X4" i="132" l="1"/>
  <c r="S4" i="132" s="1"/>
  <c r="T4" i="132" s="1"/>
  <c r="T7" i="132" s="1"/>
  <c r="T9" i="132" s="1"/>
  <c r="U6" i="132"/>
  <c r="D6" i="132"/>
  <c r="D5" i="132"/>
  <c r="L4" i="132"/>
  <c r="L7" i="132" s="1"/>
  <c r="L9" i="132" s="1"/>
  <c r="K7" i="132"/>
  <c r="N4" i="132"/>
  <c r="M21" i="132"/>
  <c r="M16" i="132"/>
  <c r="G5" i="132" s="1"/>
  <c r="C26" i="132"/>
  <c r="L19" i="132"/>
  <c r="M19" i="132" s="1"/>
  <c r="M5" i="132" s="1"/>
  <c r="N5" i="132" s="1"/>
  <c r="D4" i="132"/>
  <c r="B7" i="132"/>
  <c r="X4" i="131"/>
  <c r="S4" i="131" s="1"/>
  <c r="T4" i="131" s="1"/>
  <c r="T7" i="131" s="1"/>
  <c r="T9" i="131" s="1"/>
  <c r="K7" i="131"/>
  <c r="L4" i="131"/>
  <c r="L7" i="131" s="1"/>
  <c r="L9" i="131" s="1"/>
  <c r="U6" i="131"/>
  <c r="D6" i="131"/>
  <c r="D5" i="131"/>
  <c r="U5" i="131"/>
  <c r="U4" i="131"/>
  <c r="N4" i="131"/>
  <c r="H5" i="131"/>
  <c r="H7" i="131" s="1"/>
  <c r="H9" i="131" s="1"/>
  <c r="G7" i="131"/>
  <c r="C26" i="131"/>
  <c r="L19" i="131"/>
  <c r="M19" i="131" s="1"/>
  <c r="M5" i="131" s="1"/>
  <c r="N5" i="131" s="1"/>
  <c r="D4" i="131"/>
  <c r="L21" i="131"/>
  <c r="M21" i="131" s="1"/>
  <c r="B7" i="131"/>
  <c r="X4" i="130"/>
  <c r="S4" i="130" s="1"/>
  <c r="U6" i="130"/>
  <c r="D6" i="130"/>
  <c r="H4" i="130"/>
  <c r="D5" i="130"/>
  <c r="T4" i="130"/>
  <c r="T7" i="130" s="1"/>
  <c r="T9" i="130" s="1"/>
  <c r="S7" i="130"/>
  <c r="M7" i="130"/>
  <c r="N4" i="130"/>
  <c r="N7" i="130" s="1"/>
  <c r="N9" i="130" s="1"/>
  <c r="U4" i="130"/>
  <c r="L21" i="130"/>
  <c r="M21" i="130" s="1"/>
  <c r="D4" i="130"/>
  <c r="C26" i="130"/>
  <c r="M16" i="130"/>
  <c r="G5" i="130" s="1"/>
  <c r="H5" i="130" s="1"/>
  <c r="B7" i="130"/>
  <c r="R7" i="129"/>
  <c r="R9" i="129" s="1"/>
  <c r="X4" i="129"/>
  <c r="S4" i="129" s="1"/>
  <c r="T4" i="129" s="1"/>
  <c r="T7" i="129" s="1"/>
  <c r="T9" i="129" s="1"/>
  <c r="U6" i="129"/>
  <c r="H5" i="129"/>
  <c r="H7" i="129" s="1"/>
  <c r="H9" i="129" s="1"/>
  <c r="G7" i="129"/>
  <c r="D5" i="129"/>
  <c r="D7" i="129"/>
  <c r="D11" i="129" s="1"/>
  <c r="N4" i="129"/>
  <c r="K7" i="129"/>
  <c r="L4" i="129"/>
  <c r="L7" i="129" s="1"/>
  <c r="L9" i="129" s="1"/>
  <c r="L19" i="129"/>
  <c r="M19" i="129" s="1"/>
  <c r="M5" i="129" s="1"/>
  <c r="N5" i="129" s="1"/>
  <c r="C26" i="129"/>
  <c r="D6" i="129"/>
  <c r="B7" i="129"/>
  <c r="R7" i="128"/>
  <c r="R9" i="128" s="1"/>
  <c r="U4" i="128"/>
  <c r="C32" i="128"/>
  <c r="D5" i="128"/>
  <c r="K7" i="128"/>
  <c r="L4" i="128"/>
  <c r="L7" i="128" s="1"/>
  <c r="L9" i="128" s="1"/>
  <c r="M7" i="128"/>
  <c r="N4" i="128"/>
  <c r="N7" i="128" s="1"/>
  <c r="N9" i="128" s="1"/>
  <c r="M21" i="128"/>
  <c r="U6" i="128"/>
  <c r="D6" i="128"/>
  <c r="T4" i="128"/>
  <c r="T7" i="128" s="1"/>
  <c r="T9" i="128" s="1"/>
  <c r="S7" i="128"/>
  <c r="L21" i="128"/>
  <c r="D4" i="128"/>
  <c r="D7" i="128" s="1"/>
  <c r="D11" i="128" s="1"/>
  <c r="M16" i="128"/>
  <c r="G5" i="128" s="1"/>
  <c r="U5" i="128" s="1"/>
  <c r="C26" i="128"/>
  <c r="B7" i="128"/>
  <c r="X3" i="127"/>
  <c r="S5" i="127" s="1"/>
  <c r="T5" i="127" s="1"/>
  <c r="C26" i="127"/>
  <c r="X4" i="127"/>
  <c r="S4" i="127" s="1"/>
  <c r="U4" i="127" s="1"/>
  <c r="B7" i="127"/>
  <c r="D4" i="127"/>
  <c r="K7" i="127"/>
  <c r="L4" i="127"/>
  <c r="L7" i="127" s="1"/>
  <c r="L9" i="127" s="1"/>
  <c r="U6" i="127"/>
  <c r="D6" i="127"/>
  <c r="M21" i="127"/>
  <c r="P7" i="127"/>
  <c r="P9" i="127" s="1"/>
  <c r="M7" i="127"/>
  <c r="N4" i="127"/>
  <c r="N7" i="127" s="1"/>
  <c r="N9" i="127" s="1"/>
  <c r="D5" i="127"/>
  <c r="S7" i="127"/>
  <c r="M16" i="127"/>
  <c r="G5" i="127" s="1"/>
  <c r="U5" i="127" s="1"/>
  <c r="L21" i="127"/>
  <c r="R7" i="126"/>
  <c r="R9" i="126" s="1"/>
  <c r="X4" i="126"/>
  <c r="S4" i="126" s="1"/>
  <c r="S7" i="126" s="1"/>
  <c r="U6" i="126"/>
  <c r="D6" i="126"/>
  <c r="H5" i="126"/>
  <c r="H7" i="126" s="1"/>
  <c r="H9" i="126" s="1"/>
  <c r="G7" i="126"/>
  <c r="B7" i="126"/>
  <c r="D4" i="126"/>
  <c r="D5" i="126"/>
  <c r="L4" i="126"/>
  <c r="L7" i="126" s="1"/>
  <c r="L9" i="126" s="1"/>
  <c r="K7" i="126"/>
  <c r="N4" i="126"/>
  <c r="C26" i="126"/>
  <c r="L19" i="126"/>
  <c r="M19" i="126" s="1"/>
  <c r="M5" i="126" s="1"/>
  <c r="N5" i="126" s="1"/>
  <c r="L21" i="126"/>
  <c r="M21" i="126" s="1"/>
  <c r="X4" i="124"/>
  <c r="S4" i="124" s="1"/>
  <c r="U4" i="124" s="1"/>
  <c r="H5" i="124"/>
  <c r="G7" i="124"/>
  <c r="K7" i="124"/>
  <c r="L4" i="124"/>
  <c r="L7" i="124" s="1"/>
  <c r="L9" i="124" s="1"/>
  <c r="M7" i="124"/>
  <c r="N4" i="124"/>
  <c r="N7" i="124" s="1"/>
  <c r="N9" i="124" s="1"/>
  <c r="U5" i="124"/>
  <c r="D5" i="124"/>
  <c r="H7" i="124"/>
  <c r="H9" i="124" s="1"/>
  <c r="P7" i="124"/>
  <c r="P9" i="124" s="1"/>
  <c r="U6" i="124"/>
  <c r="D6" i="124"/>
  <c r="L21" i="124"/>
  <c r="M21" i="124" s="1"/>
  <c r="D4" i="124"/>
  <c r="C26" i="124"/>
  <c r="B7" i="124"/>
  <c r="R7" i="123"/>
  <c r="R9" i="123" s="1"/>
  <c r="G7" i="123"/>
  <c r="H5" i="123"/>
  <c r="H7" i="123" s="1"/>
  <c r="H9" i="123" s="1"/>
  <c r="N4" i="123"/>
  <c r="L4" i="123"/>
  <c r="L7" i="123" s="1"/>
  <c r="L9" i="123" s="1"/>
  <c r="K7" i="123"/>
  <c r="T4" i="123"/>
  <c r="T7" i="123" s="1"/>
  <c r="T9" i="123" s="1"/>
  <c r="S7" i="123"/>
  <c r="D5" i="123"/>
  <c r="U4" i="123"/>
  <c r="M21" i="123"/>
  <c r="D6" i="123"/>
  <c r="U6" i="123"/>
  <c r="L19" i="123"/>
  <c r="M19" i="123" s="1"/>
  <c r="M5" i="123" s="1"/>
  <c r="N5" i="123" s="1"/>
  <c r="C26" i="123"/>
  <c r="B7" i="123"/>
  <c r="D4" i="123"/>
  <c r="R7" i="122"/>
  <c r="R9" i="122" s="1"/>
  <c r="X4" i="122"/>
  <c r="S4" i="122" s="1"/>
  <c r="T4" i="122" s="1"/>
  <c r="T7" i="122" s="1"/>
  <c r="T9" i="122" s="1"/>
  <c r="H5" i="122"/>
  <c r="H7" i="122" s="1"/>
  <c r="H9" i="122" s="1"/>
  <c r="G7" i="122"/>
  <c r="L4" i="122"/>
  <c r="L7" i="122" s="1"/>
  <c r="L9" i="122" s="1"/>
  <c r="K7" i="122"/>
  <c r="U6" i="122"/>
  <c r="D6" i="122"/>
  <c r="D5" i="122"/>
  <c r="P7" i="122"/>
  <c r="P9" i="122" s="1"/>
  <c r="L19" i="122"/>
  <c r="M19" i="122" s="1"/>
  <c r="M5" i="122" s="1"/>
  <c r="L21" i="122"/>
  <c r="M21" i="122" s="1"/>
  <c r="D4" i="122"/>
  <c r="O7" i="122"/>
  <c r="C26" i="122"/>
  <c r="B7" i="122"/>
  <c r="R7" i="121"/>
  <c r="R9" i="121" s="1"/>
  <c r="U6" i="121"/>
  <c r="X4" i="121"/>
  <c r="S4" i="121" s="1"/>
  <c r="D6" i="121"/>
  <c r="D5" i="121"/>
  <c r="L4" i="121"/>
  <c r="L7" i="121" s="1"/>
  <c r="L9" i="121" s="1"/>
  <c r="K7" i="121"/>
  <c r="N4" i="121"/>
  <c r="L19" i="121"/>
  <c r="M19" i="121" s="1"/>
  <c r="M5" i="121" s="1"/>
  <c r="N5" i="121" s="1"/>
  <c r="D4" i="121"/>
  <c r="M16" i="121"/>
  <c r="G5" i="121" s="1"/>
  <c r="H5" i="121" s="1"/>
  <c r="H7" i="121" s="1"/>
  <c r="H9" i="121" s="1"/>
  <c r="C26" i="121"/>
  <c r="B7" i="121"/>
  <c r="T4" i="120"/>
  <c r="T7" i="120" s="1"/>
  <c r="T9" i="120" s="1"/>
  <c r="S7" i="120"/>
  <c r="D5" i="120"/>
  <c r="K7" i="120"/>
  <c r="L4" i="120"/>
  <c r="L7" i="120" s="1"/>
  <c r="L9" i="120" s="1"/>
  <c r="U4" i="120"/>
  <c r="N4" i="120"/>
  <c r="M21" i="120"/>
  <c r="U6" i="120"/>
  <c r="D6" i="120"/>
  <c r="H5" i="120"/>
  <c r="G7" i="120"/>
  <c r="H7" i="120"/>
  <c r="H9" i="120" s="1"/>
  <c r="L19" i="120"/>
  <c r="M19" i="120" s="1"/>
  <c r="M5" i="120" s="1"/>
  <c r="N5" i="120" s="1"/>
  <c r="L21" i="120"/>
  <c r="D4" i="120"/>
  <c r="C26" i="120"/>
  <c r="B7" i="120"/>
  <c r="T4" i="119"/>
  <c r="T7" i="119" s="1"/>
  <c r="T9" i="119" s="1"/>
  <c r="S7" i="119"/>
  <c r="D5" i="119"/>
  <c r="U6" i="119"/>
  <c r="D6" i="119"/>
  <c r="U4" i="119"/>
  <c r="N4" i="119"/>
  <c r="N7" i="119" s="1"/>
  <c r="N9" i="119" s="1"/>
  <c r="M7" i="119"/>
  <c r="M21" i="119"/>
  <c r="K7" i="119"/>
  <c r="L4" i="119"/>
  <c r="L7" i="119" s="1"/>
  <c r="L9" i="119" s="1"/>
  <c r="M16" i="119"/>
  <c r="G5" i="119" s="1"/>
  <c r="C26" i="119"/>
  <c r="D4" i="119"/>
  <c r="D7" i="119" s="1"/>
  <c r="D11" i="119" s="1"/>
  <c r="B7" i="119"/>
  <c r="X4" i="118"/>
  <c r="S4" i="118" s="1"/>
  <c r="R7" i="118"/>
  <c r="R9" i="118" s="1"/>
  <c r="H7" i="118"/>
  <c r="H9" i="118" s="1"/>
  <c r="U4" i="118"/>
  <c r="D4" i="118"/>
  <c r="B7" i="118"/>
  <c r="S7" i="118"/>
  <c r="T4" i="118"/>
  <c r="T7" i="118" s="1"/>
  <c r="T9" i="118" s="1"/>
  <c r="D5" i="118"/>
  <c r="U6" i="118"/>
  <c r="D6" i="118"/>
  <c r="P7" i="118"/>
  <c r="P9" i="118" s="1"/>
  <c r="L4" i="118"/>
  <c r="L7" i="118" s="1"/>
  <c r="L9" i="118" s="1"/>
  <c r="K7" i="118"/>
  <c r="L19" i="118"/>
  <c r="M19" i="118" s="1"/>
  <c r="M5" i="118" s="1"/>
  <c r="U5" i="118" s="1"/>
  <c r="L21" i="118"/>
  <c r="M21" i="118" s="1"/>
  <c r="G7" i="118"/>
  <c r="O7" i="118"/>
  <c r="C26" i="118"/>
  <c r="R7" i="117"/>
  <c r="R9" i="117" s="1"/>
  <c r="X4" i="117"/>
  <c r="S4" i="117" s="1"/>
  <c r="T4" i="117" s="1"/>
  <c r="T7" i="117" s="1"/>
  <c r="T9" i="117" s="1"/>
  <c r="H5" i="117"/>
  <c r="G7" i="117"/>
  <c r="D5" i="117"/>
  <c r="U6" i="117"/>
  <c r="D6" i="117"/>
  <c r="H7" i="117"/>
  <c r="H9" i="117" s="1"/>
  <c r="K7" i="117"/>
  <c r="L4" i="117"/>
  <c r="L7" i="117" s="1"/>
  <c r="L9" i="117" s="1"/>
  <c r="M21" i="117"/>
  <c r="N4" i="117"/>
  <c r="L19" i="117"/>
  <c r="M19" i="117" s="1"/>
  <c r="M5" i="117" s="1"/>
  <c r="N5" i="117" s="1"/>
  <c r="D4" i="117"/>
  <c r="C26" i="117"/>
  <c r="B7" i="117"/>
  <c r="R7" i="116"/>
  <c r="R9" i="116" s="1"/>
  <c r="U6" i="116"/>
  <c r="D6" i="116"/>
  <c r="T4" i="116"/>
  <c r="T7" i="116" s="1"/>
  <c r="T9" i="116" s="1"/>
  <c r="S7" i="116"/>
  <c r="D5" i="116"/>
  <c r="P7" i="116"/>
  <c r="P9" i="116" s="1"/>
  <c r="U4" i="116"/>
  <c r="K7" i="116"/>
  <c r="L4" i="116"/>
  <c r="L7" i="116" s="1"/>
  <c r="L9" i="116" s="1"/>
  <c r="H5" i="116"/>
  <c r="H7" i="116" s="1"/>
  <c r="H9" i="116" s="1"/>
  <c r="G7" i="116"/>
  <c r="M21" i="116"/>
  <c r="L19" i="116"/>
  <c r="M19" i="116" s="1"/>
  <c r="M5" i="116" s="1"/>
  <c r="U5" i="116" s="1"/>
  <c r="D4" i="116"/>
  <c r="D7" i="116" s="1"/>
  <c r="D11" i="116" s="1"/>
  <c r="O7" i="116"/>
  <c r="C26" i="116"/>
  <c r="B7" i="116"/>
  <c r="R7" i="115"/>
  <c r="R9" i="115" s="1"/>
  <c r="X4" i="115"/>
  <c r="S4" i="115" s="1"/>
  <c r="U4" i="115" s="1"/>
  <c r="N4" i="115"/>
  <c r="H5" i="115"/>
  <c r="K7" i="115"/>
  <c r="L4" i="115"/>
  <c r="L7" i="115" s="1"/>
  <c r="L9" i="115" s="1"/>
  <c r="P7" i="115"/>
  <c r="P9" i="115" s="1"/>
  <c r="T6" i="115"/>
  <c r="U6" i="115"/>
  <c r="G7" i="115"/>
  <c r="H4" i="115"/>
  <c r="B7" i="115"/>
  <c r="D4" i="115"/>
  <c r="D7" i="115" s="1"/>
  <c r="D11" i="115" s="1"/>
  <c r="L19" i="115"/>
  <c r="M19" i="115" s="1"/>
  <c r="M5" i="115" s="1"/>
  <c r="N5" i="115" s="1"/>
  <c r="L21" i="115"/>
  <c r="M21" i="115" s="1"/>
  <c r="C26" i="115"/>
  <c r="H7" i="114"/>
  <c r="H9" i="114" s="1"/>
  <c r="R7" i="114"/>
  <c r="R9" i="114" s="1"/>
  <c r="T4" i="114"/>
  <c r="T7" i="114" s="1"/>
  <c r="T9" i="114" s="1"/>
  <c r="S7" i="114"/>
  <c r="D5" i="114"/>
  <c r="P7" i="114"/>
  <c r="P9" i="114" s="1"/>
  <c r="U6" i="114"/>
  <c r="D6" i="114"/>
  <c r="K7" i="114"/>
  <c r="L4" i="114"/>
  <c r="L7" i="114" s="1"/>
  <c r="L9" i="114" s="1"/>
  <c r="U4" i="114"/>
  <c r="L19" i="114"/>
  <c r="M19" i="114" s="1"/>
  <c r="M5" i="114" s="1"/>
  <c r="U5" i="114" s="1"/>
  <c r="L21" i="114"/>
  <c r="M21" i="114" s="1"/>
  <c r="D4" i="114"/>
  <c r="G7" i="114"/>
  <c r="O7" i="114"/>
  <c r="C26" i="114"/>
  <c r="B7" i="114"/>
  <c r="R7" i="113"/>
  <c r="R9" i="113" s="1"/>
  <c r="T4" i="113"/>
  <c r="T7" i="113" s="1"/>
  <c r="T9" i="113" s="1"/>
  <c r="S7" i="113"/>
  <c r="U6" i="113"/>
  <c r="D6" i="113"/>
  <c r="U5" i="113"/>
  <c r="D5" i="113"/>
  <c r="K7" i="113"/>
  <c r="L4" i="113"/>
  <c r="L7" i="113" s="1"/>
  <c r="L9" i="113" s="1"/>
  <c r="N5" i="113"/>
  <c r="N7" i="113" s="1"/>
  <c r="N9" i="113" s="1"/>
  <c r="M7" i="113"/>
  <c r="M21" i="113"/>
  <c r="U4" i="113"/>
  <c r="B7" i="113"/>
  <c r="D4" i="113"/>
  <c r="H7" i="113"/>
  <c r="H9" i="113" s="1"/>
  <c r="L21" i="113"/>
  <c r="G7" i="113"/>
  <c r="O7" i="113"/>
  <c r="C26" i="113"/>
  <c r="L4" i="112"/>
  <c r="L7" i="112" s="1"/>
  <c r="L9" i="112" s="1"/>
  <c r="K7" i="112"/>
  <c r="R7" i="112"/>
  <c r="R9" i="112" s="1"/>
  <c r="I7" i="112"/>
  <c r="T4" i="112"/>
  <c r="T7" i="112" s="1"/>
  <c r="T9" i="112" s="1"/>
  <c r="S7" i="112"/>
  <c r="U6" i="112"/>
  <c r="D6" i="112"/>
  <c r="U4" i="112"/>
  <c r="M7" i="112"/>
  <c r="N5" i="112"/>
  <c r="N7" i="112" s="1"/>
  <c r="N9" i="112" s="1"/>
  <c r="H4" i="112"/>
  <c r="D5" i="112"/>
  <c r="D4" i="112"/>
  <c r="O7" i="112"/>
  <c r="M16" i="112"/>
  <c r="G5" i="112" s="1"/>
  <c r="H5" i="112" s="1"/>
  <c r="L21" i="112"/>
  <c r="M21" i="112" s="1"/>
  <c r="C26" i="112"/>
  <c r="B7" i="112"/>
  <c r="R7" i="111"/>
  <c r="R9" i="111" s="1"/>
  <c r="X4" i="111"/>
  <c r="S4" i="111" s="1"/>
  <c r="T4" i="111" s="1"/>
  <c r="T7" i="111" s="1"/>
  <c r="T9" i="111" s="1"/>
  <c r="U6" i="111"/>
  <c r="D6" i="111"/>
  <c r="D5" i="111"/>
  <c r="N4" i="111"/>
  <c r="L4" i="111"/>
  <c r="L7" i="111" s="1"/>
  <c r="L9" i="111" s="1"/>
  <c r="K7" i="111"/>
  <c r="G7" i="111"/>
  <c r="H5" i="111"/>
  <c r="H7" i="111" s="1"/>
  <c r="H9" i="111" s="1"/>
  <c r="L19" i="111"/>
  <c r="M19" i="111" s="1"/>
  <c r="M5" i="111" s="1"/>
  <c r="N5" i="111" s="1"/>
  <c r="D4" i="111"/>
  <c r="C26" i="111"/>
  <c r="B7" i="111"/>
  <c r="R7" i="110"/>
  <c r="R9" i="110" s="1"/>
  <c r="I7" i="110"/>
  <c r="C32" i="110"/>
  <c r="T4" i="110"/>
  <c r="T7" i="110" s="1"/>
  <c r="T9" i="110" s="1"/>
  <c r="S7" i="110"/>
  <c r="U6" i="110"/>
  <c r="D6" i="110"/>
  <c r="U4" i="110"/>
  <c r="M7" i="110"/>
  <c r="N5" i="110"/>
  <c r="N7" i="110" s="1"/>
  <c r="N9" i="110" s="1"/>
  <c r="H4" i="110"/>
  <c r="D5" i="110"/>
  <c r="M21" i="110"/>
  <c r="D4" i="110"/>
  <c r="O7" i="110"/>
  <c r="M16" i="110"/>
  <c r="G5" i="110" s="1"/>
  <c r="H5" i="110" s="1"/>
  <c r="L21" i="110"/>
  <c r="C26" i="110"/>
  <c r="B7" i="110"/>
  <c r="U4" i="109"/>
  <c r="R7" i="109"/>
  <c r="R9" i="109" s="1"/>
  <c r="M21" i="109"/>
  <c r="X4" i="109"/>
  <c r="S4" i="109" s="1"/>
  <c r="T4" i="109" s="1"/>
  <c r="X3" i="109"/>
  <c r="S5" i="109" s="1"/>
  <c r="T5" i="109" s="1"/>
  <c r="P7" i="109"/>
  <c r="P9" i="109" s="1"/>
  <c r="D5" i="109"/>
  <c r="N4" i="109"/>
  <c r="L4" i="109"/>
  <c r="L7" i="109" s="1"/>
  <c r="L9" i="109" s="1"/>
  <c r="K7" i="109"/>
  <c r="H4" i="109"/>
  <c r="D4" i="109"/>
  <c r="B7" i="109"/>
  <c r="U6" i="109"/>
  <c r="D6" i="109"/>
  <c r="P5" i="109"/>
  <c r="C26" i="109"/>
  <c r="L19" i="109"/>
  <c r="M19" i="109" s="1"/>
  <c r="M5" i="109" s="1"/>
  <c r="N5" i="109" s="1"/>
  <c r="M16" i="109"/>
  <c r="G5" i="109" s="1"/>
  <c r="H5" i="109" s="1"/>
  <c r="X3" i="108"/>
  <c r="S5" i="108" s="1"/>
  <c r="T5" i="108" s="1"/>
  <c r="X4" i="108"/>
  <c r="S4" i="108" s="1"/>
  <c r="T4" i="108" s="1"/>
  <c r="M21" i="108"/>
  <c r="I7" i="108"/>
  <c r="U6" i="108"/>
  <c r="D6" i="108"/>
  <c r="L4" i="108"/>
  <c r="L7" i="108" s="1"/>
  <c r="L9" i="108" s="1"/>
  <c r="K7" i="108"/>
  <c r="N4" i="108"/>
  <c r="D4" i="108"/>
  <c r="B7" i="108"/>
  <c r="H4" i="108"/>
  <c r="D5" i="108"/>
  <c r="P7" i="108"/>
  <c r="P9" i="108" s="1"/>
  <c r="C26" i="108"/>
  <c r="P5" i="108"/>
  <c r="L19" i="108"/>
  <c r="M19" i="108" s="1"/>
  <c r="M5" i="108" s="1"/>
  <c r="N5" i="108" s="1"/>
  <c r="M16" i="108"/>
  <c r="G5" i="108" s="1"/>
  <c r="H5" i="108" s="1"/>
  <c r="R7" i="107"/>
  <c r="R9" i="107" s="1"/>
  <c r="X4" i="107"/>
  <c r="S4" i="107" s="1"/>
  <c r="U4" i="107" s="1"/>
  <c r="X3" i="107"/>
  <c r="S5" i="107" s="1"/>
  <c r="T5" i="107" s="1"/>
  <c r="D5" i="107"/>
  <c r="N4" i="107"/>
  <c r="U6" i="107"/>
  <c r="D6" i="107"/>
  <c r="D4" i="107"/>
  <c r="B7" i="107"/>
  <c r="L4" i="107"/>
  <c r="L7" i="107" s="1"/>
  <c r="L9" i="107" s="1"/>
  <c r="K7" i="107"/>
  <c r="P7" i="107"/>
  <c r="P9" i="107" s="1"/>
  <c r="C26" i="107"/>
  <c r="P5" i="107"/>
  <c r="H4" i="107"/>
  <c r="L19" i="107"/>
  <c r="M19" i="107" s="1"/>
  <c r="M5" i="107" s="1"/>
  <c r="N5" i="107" s="1"/>
  <c r="M16" i="107"/>
  <c r="G5" i="107" s="1"/>
  <c r="H5" i="107" s="1"/>
  <c r="R7" i="106"/>
  <c r="R9" i="106" s="1"/>
  <c r="M21" i="106"/>
  <c r="X4" i="106"/>
  <c r="S4" i="106" s="1"/>
  <c r="U4" i="106" s="1"/>
  <c r="C26" i="106"/>
  <c r="L4" i="106"/>
  <c r="L7" i="106" s="1"/>
  <c r="L9" i="106" s="1"/>
  <c r="K7" i="106"/>
  <c r="N4" i="106"/>
  <c r="M7" i="106"/>
  <c r="D4" i="106"/>
  <c r="B7" i="106"/>
  <c r="D5" i="106"/>
  <c r="U6" i="106"/>
  <c r="D6" i="106"/>
  <c r="G7" i="106"/>
  <c r="P5" i="106"/>
  <c r="P7" i="106" s="1"/>
  <c r="P9" i="106" s="1"/>
  <c r="H4" i="106"/>
  <c r="X3" i="106"/>
  <c r="S5" i="106" s="1"/>
  <c r="T5" i="106" s="1"/>
  <c r="L19" i="106"/>
  <c r="M19" i="106" s="1"/>
  <c r="M5" i="106" s="1"/>
  <c r="N5" i="106" s="1"/>
  <c r="M16" i="106"/>
  <c r="G5" i="106" s="1"/>
  <c r="H5" i="106" s="1"/>
  <c r="R7" i="105"/>
  <c r="R9" i="105" s="1"/>
  <c r="M21" i="105"/>
  <c r="X3" i="105"/>
  <c r="S5" i="105" s="1"/>
  <c r="T5" i="105" s="1"/>
  <c r="T4" i="105"/>
  <c r="L4" i="105"/>
  <c r="L7" i="105" s="1"/>
  <c r="L9" i="105" s="1"/>
  <c r="K7" i="105"/>
  <c r="U6" i="105"/>
  <c r="D6" i="105"/>
  <c r="D4" i="105"/>
  <c r="D7" i="105" s="1"/>
  <c r="D11" i="105" s="1"/>
  <c r="B7" i="105"/>
  <c r="U4" i="105"/>
  <c r="D5" i="105"/>
  <c r="N4" i="105"/>
  <c r="N7" i="105" s="1"/>
  <c r="N9" i="105" s="1"/>
  <c r="M7" i="105"/>
  <c r="G7" i="105"/>
  <c r="P5" i="105"/>
  <c r="P7" i="105" s="1"/>
  <c r="P9" i="105" s="1"/>
  <c r="H4" i="105"/>
  <c r="C26" i="105"/>
  <c r="L19" i="105"/>
  <c r="M19" i="105" s="1"/>
  <c r="M5" i="105" s="1"/>
  <c r="N5" i="105" s="1"/>
  <c r="M16" i="105"/>
  <c r="G5" i="105" s="1"/>
  <c r="H5" i="105" s="1"/>
  <c r="M21" i="104"/>
  <c r="R7" i="104"/>
  <c r="R9" i="104" s="1"/>
  <c r="X3" i="104"/>
  <c r="S5" i="104" s="1"/>
  <c r="T5" i="104" s="1"/>
  <c r="X4" i="104"/>
  <c r="S4" i="104" s="1"/>
  <c r="S7" i="104" s="1"/>
  <c r="N4" i="104"/>
  <c r="U6" i="104"/>
  <c r="D6" i="104"/>
  <c r="H4" i="104"/>
  <c r="H7" i="104" s="1"/>
  <c r="H9" i="104" s="1"/>
  <c r="L4" i="104"/>
  <c r="L7" i="104" s="1"/>
  <c r="L9" i="104" s="1"/>
  <c r="K7" i="104"/>
  <c r="D5" i="104"/>
  <c r="D4" i="104"/>
  <c r="D7" i="104" s="1"/>
  <c r="D11" i="104" s="1"/>
  <c r="B7" i="104"/>
  <c r="P7" i="104"/>
  <c r="P9" i="104" s="1"/>
  <c r="M16" i="104"/>
  <c r="G5" i="104" s="1"/>
  <c r="H5" i="104" s="1"/>
  <c r="C26" i="104"/>
  <c r="L19" i="104"/>
  <c r="M19" i="104" s="1"/>
  <c r="M5" i="104" s="1"/>
  <c r="N5" i="104" s="1"/>
  <c r="N4" i="103"/>
  <c r="D5" i="103"/>
  <c r="U5" i="103"/>
  <c r="D4" i="103"/>
  <c r="D7" i="103" s="1"/>
  <c r="D11" i="103" s="1"/>
  <c r="U4" i="103"/>
  <c r="B7" i="103"/>
  <c r="U6" i="103"/>
  <c r="D6" i="103"/>
  <c r="P7" i="103"/>
  <c r="P9" i="103" s="1"/>
  <c r="S7" i="103"/>
  <c r="T4" i="103"/>
  <c r="T7" i="103" s="1"/>
  <c r="T9" i="103" s="1"/>
  <c r="H4" i="103"/>
  <c r="H7" i="103" s="1"/>
  <c r="H9" i="103" s="1"/>
  <c r="G7" i="103"/>
  <c r="L4" i="103"/>
  <c r="L7" i="103" s="1"/>
  <c r="L9" i="103" s="1"/>
  <c r="K7" i="103"/>
  <c r="M16" i="103"/>
  <c r="G5" i="103" s="1"/>
  <c r="H5" i="103" s="1"/>
  <c r="C26" i="103"/>
  <c r="L19" i="103"/>
  <c r="M19" i="103" s="1"/>
  <c r="M5" i="103" s="1"/>
  <c r="N5" i="103" s="1"/>
  <c r="D11" i="102"/>
  <c r="D10" i="102"/>
  <c r="D9" i="102"/>
  <c r="D7" i="102"/>
  <c r="D6" i="102"/>
  <c r="D5" i="102"/>
  <c r="U4" i="132" l="1"/>
  <c r="S7" i="132"/>
  <c r="H5" i="132"/>
  <c r="H7" i="132" s="1"/>
  <c r="H9" i="132" s="1"/>
  <c r="G7" i="132"/>
  <c r="N7" i="132"/>
  <c r="N9" i="132" s="1"/>
  <c r="U5" i="132"/>
  <c r="D7" i="132"/>
  <c r="D11" i="132" s="1"/>
  <c r="M7" i="132"/>
  <c r="M7" i="131"/>
  <c r="S7" i="131"/>
  <c r="U7" i="131" s="1"/>
  <c r="D7" i="131"/>
  <c r="D11" i="131" s="1"/>
  <c r="N7" i="131"/>
  <c r="N9" i="131" s="1"/>
  <c r="D7" i="130"/>
  <c r="D11" i="130" s="1"/>
  <c r="U5" i="130"/>
  <c r="H7" i="130"/>
  <c r="H9" i="130" s="1"/>
  <c r="G7" i="130"/>
  <c r="U7" i="130"/>
  <c r="U4" i="129"/>
  <c r="S7" i="129"/>
  <c r="U5" i="129"/>
  <c r="M7" i="129"/>
  <c r="N7" i="129"/>
  <c r="N9" i="129" s="1"/>
  <c r="H5" i="128"/>
  <c r="H7" i="128" s="1"/>
  <c r="H9" i="128" s="1"/>
  <c r="G7" i="128"/>
  <c r="U7" i="128"/>
  <c r="T4" i="127"/>
  <c r="T7" i="127" s="1"/>
  <c r="T9" i="127" s="1"/>
  <c r="D7" i="127"/>
  <c r="D11" i="127" s="1"/>
  <c r="H5" i="127"/>
  <c r="H7" i="127" s="1"/>
  <c r="H9" i="127" s="1"/>
  <c r="G7" i="127"/>
  <c r="U7" i="127"/>
  <c r="N7" i="126"/>
  <c r="N9" i="126" s="1"/>
  <c r="M7" i="126"/>
  <c r="T4" i="126"/>
  <c r="T7" i="126" s="1"/>
  <c r="T9" i="126" s="1"/>
  <c r="U4" i="126"/>
  <c r="U7" i="126"/>
  <c r="D7" i="126"/>
  <c r="D11" i="126" s="1"/>
  <c r="U5" i="126"/>
  <c r="S7" i="124"/>
  <c r="T4" i="124"/>
  <c r="T7" i="124" s="1"/>
  <c r="T9" i="124" s="1"/>
  <c r="U7" i="124"/>
  <c r="D7" i="124"/>
  <c r="D11" i="124" s="1"/>
  <c r="M7" i="123"/>
  <c r="N7" i="123"/>
  <c r="N9" i="123" s="1"/>
  <c r="D7" i="123"/>
  <c r="D11" i="123" s="1"/>
  <c r="U7" i="123"/>
  <c r="U5" i="123"/>
  <c r="U4" i="122"/>
  <c r="S7" i="122"/>
  <c r="M7" i="122"/>
  <c r="N5" i="122"/>
  <c r="N7" i="122" s="1"/>
  <c r="N9" i="122" s="1"/>
  <c r="U7" i="122"/>
  <c r="D7" i="122"/>
  <c r="D11" i="122" s="1"/>
  <c r="U5" i="122"/>
  <c r="U5" i="121"/>
  <c r="D7" i="121"/>
  <c r="D11" i="121" s="1"/>
  <c r="S7" i="121"/>
  <c r="T4" i="121"/>
  <c r="T7" i="121" s="1"/>
  <c r="T9" i="121" s="1"/>
  <c r="G7" i="121"/>
  <c r="M7" i="121"/>
  <c r="N7" i="121"/>
  <c r="N9" i="121" s="1"/>
  <c r="D7" i="120"/>
  <c r="D11" i="120" s="1"/>
  <c r="N7" i="120"/>
  <c r="N9" i="120" s="1"/>
  <c r="U5" i="120"/>
  <c r="M7" i="120"/>
  <c r="U7" i="120" s="1"/>
  <c r="G7" i="119"/>
  <c r="H5" i="119"/>
  <c r="H7" i="119" s="1"/>
  <c r="H9" i="119" s="1"/>
  <c r="U5" i="119"/>
  <c r="U7" i="119"/>
  <c r="N5" i="118"/>
  <c r="N7" i="118" s="1"/>
  <c r="N9" i="118" s="1"/>
  <c r="M7" i="118"/>
  <c r="U7" i="118"/>
  <c r="D7" i="118"/>
  <c r="D11" i="118" s="1"/>
  <c r="U4" i="117"/>
  <c r="S7" i="117"/>
  <c r="M7" i="117"/>
  <c r="U5" i="117"/>
  <c r="N7" i="117"/>
  <c r="N9" i="117" s="1"/>
  <c r="D7" i="117"/>
  <c r="D11" i="117" s="1"/>
  <c r="M7" i="116"/>
  <c r="U7" i="116" s="1"/>
  <c r="N5" i="116"/>
  <c r="N7" i="116" s="1"/>
  <c r="N9" i="116" s="1"/>
  <c r="H7" i="115"/>
  <c r="H9" i="115" s="1"/>
  <c r="S7" i="115"/>
  <c r="T4" i="115"/>
  <c r="T7" i="115" s="1"/>
  <c r="T9" i="115" s="1"/>
  <c r="U5" i="115"/>
  <c r="M7" i="115"/>
  <c r="U7" i="115" s="1"/>
  <c r="N7" i="115"/>
  <c r="N9" i="115" s="1"/>
  <c r="D7" i="114"/>
  <c r="D11" i="114" s="1"/>
  <c r="M7" i="114"/>
  <c r="U7" i="114" s="1"/>
  <c r="N5" i="114"/>
  <c r="N7" i="114" s="1"/>
  <c r="N9" i="114" s="1"/>
  <c r="D7" i="113"/>
  <c r="D11" i="113" s="1"/>
  <c r="U7" i="113"/>
  <c r="G7" i="112"/>
  <c r="U7" i="112"/>
  <c r="H7" i="112"/>
  <c r="H9" i="112" s="1"/>
  <c r="D7" i="112"/>
  <c r="D11" i="112" s="1"/>
  <c r="U5" i="112"/>
  <c r="S7" i="111"/>
  <c r="D7" i="111"/>
  <c r="D11" i="111" s="1"/>
  <c r="U4" i="111"/>
  <c r="N7" i="111"/>
  <c r="N9" i="111" s="1"/>
  <c r="U5" i="111"/>
  <c r="M7" i="111"/>
  <c r="U7" i="111" s="1"/>
  <c r="D7" i="110"/>
  <c r="D11" i="110" s="1"/>
  <c r="U5" i="110"/>
  <c r="G7" i="110"/>
  <c r="U7" i="110" s="1"/>
  <c r="H7" i="110"/>
  <c r="H9" i="110" s="1"/>
  <c r="N7" i="109"/>
  <c r="N9" i="109" s="1"/>
  <c r="T7" i="109"/>
  <c r="T9" i="109" s="1"/>
  <c r="S7" i="109"/>
  <c r="U5" i="109"/>
  <c r="M7" i="109"/>
  <c r="D7" i="109"/>
  <c r="D11" i="109" s="1"/>
  <c r="H7" i="109"/>
  <c r="H9" i="109" s="1"/>
  <c r="G7" i="109"/>
  <c r="T7" i="108"/>
  <c r="T9" i="108" s="1"/>
  <c r="U5" i="108"/>
  <c r="N7" i="108"/>
  <c r="N9" i="108" s="1"/>
  <c r="M7" i="108"/>
  <c r="H7" i="108"/>
  <c r="H9" i="108" s="1"/>
  <c r="S7" i="108"/>
  <c r="U4" i="108"/>
  <c r="G7" i="108"/>
  <c r="D7" i="108"/>
  <c r="D11" i="108" s="1"/>
  <c r="M7" i="107"/>
  <c r="N7" i="107"/>
  <c r="N9" i="107" s="1"/>
  <c r="T4" i="107"/>
  <c r="T7" i="107" s="1"/>
  <c r="T9" i="107" s="1"/>
  <c r="S7" i="107"/>
  <c r="D7" i="107"/>
  <c r="D11" i="107" s="1"/>
  <c r="U5" i="107"/>
  <c r="H7" i="107"/>
  <c r="H9" i="107" s="1"/>
  <c r="G7" i="107"/>
  <c r="T4" i="106"/>
  <c r="T7" i="106" s="1"/>
  <c r="T9" i="106" s="1"/>
  <c r="S7" i="106"/>
  <c r="D7" i="106"/>
  <c r="D11" i="106" s="1"/>
  <c r="U5" i="106"/>
  <c r="N7" i="106"/>
  <c r="N9" i="106" s="1"/>
  <c r="H7" i="106"/>
  <c r="H9" i="106" s="1"/>
  <c r="U7" i="106"/>
  <c r="S7" i="105"/>
  <c r="T7" i="105"/>
  <c r="T9" i="105" s="1"/>
  <c r="U7" i="105"/>
  <c r="U5" i="105"/>
  <c r="H7" i="105"/>
  <c r="H9" i="105" s="1"/>
  <c r="U5" i="104"/>
  <c r="G7" i="104"/>
  <c r="U4" i="104"/>
  <c r="T4" i="104"/>
  <c r="T7" i="104" s="1"/>
  <c r="T9" i="104" s="1"/>
  <c r="M7" i="104"/>
  <c r="N7" i="104"/>
  <c r="N9" i="104" s="1"/>
  <c r="N7" i="103"/>
  <c r="N9" i="103" s="1"/>
  <c r="M7" i="103"/>
  <c r="U7" i="103" s="1"/>
  <c r="H27" i="101"/>
  <c r="E26" i="101"/>
  <c r="D25" i="101"/>
  <c r="C25" i="101" s="1"/>
  <c r="J24" i="101"/>
  <c r="J16" i="101" s="1"/>
  <c r="B6" i="101" s="1"/>
  <c r="I24" i="101"/>
  <c r="I16" i="101" s="1"/>
  <c r="H24" i="101"/>
  <c r="H16" i="101" s="1"/>
  <c r="D24" i="101"/>
  <c r="C24" i="101" s="1"/>
  <c r="D23" i="101"/>
  <c r="C23" i="101" s="1"/>
  <c r="D22" i="101"/>
  <c r="C22" i="101" s="1"/>
  <c r="D21" i="101"/>
  <c r="C21" i="101" s="1"/>
  <c r="P20" i="101"/>
  <c r="L20" i="101"/>
  <c r="K20" i="101" s="1"/>
  <c r="G4" i="101" s="1"/>
  <c r="D20" i="101"/>
  <c r="C20" i="101" s="1"/>
  <c r="H19" i="101"/>
  <c r="D19" i="101"/>
  <c r="C19" i="101" s="1"/>
  <c r="D18" i="101"/>
  <c r="C18" i="101" s="1"/>
  <c r="L17" i="101"/>
  <c r="M17" i="101" s="1"/>
  <c r="K4" i="101" s="1"/>
  <c r="L16" i="101"/>
  <c r="L21" i="101" s="1"/>
  <c r="V15" i="101"/>
  <c r="L15" i="101"/>
  <c r="E7" i="101"/>
  <c r="R6" i="101"/>
  <c r="P6" i="101"/>
  <c r="N6" i="101"/>
  <c r="L6" i="101"/>
  <c r="J6" i="101"/>
  <c r="H6" i="101"/>
  <c r="F6" i="101"/>
  <c r="D6" i="101"/>
  <c r="X5" i="101"/>
  <c r="S6" i="101" s="1"/>
  <c r="R5" i="101"/>
  <c r="O5" i="101"/>
  <c r="O7" i="101" s="1"/>
  <c r="L5" i="101"/>
  <c r="I5" i="101"/>
  <c r="J5" i="101" s="1"/>
  <c r="J7" i="101" s="1"/>
  <c r="J9" i="101" s="1"/>
  <c r="F5" i="101"/>
  <c r="R4" i="101"/>
  <c r="P4" i="101"/>
  <c r="I4" i="101"/>
  <c r="F4" i="101"/>
  <c r="U7" i="132" l="1"/>
  <c r="U7" i="129"/>
  <c r="U7" i="117"/>
  <c r="U7" i="109"/>
  <c r="U7" i="108"/>
  <c r="U7" i="107"/>
  <c r="U7" i="104"/>
  <c r="B5" i="101"/>
  <c r="D5" i="101" s="1"/>
  <c r="B4" i="101"/>
  <c r="D4" i="101"/>
  <c r="F7" i="101"/>
  <c r="F9" i="101" s="1"/>
  <c r="M16" i="101"/>
  <c r="G5" i="101" s="1"/>
  <c r="H5" i="101" s="1"/>
  <c r="M15" i="101"/>
  <c r="M4" i="101" s="1"/>
  <c r="N4" i="101" s="1"/>
  <c r="R7" i="101"/>
  <c r="R9" i="101" s="1"/>
  <c r="I7" i="101"/>
  <c r="X4" i="101"/>
  <c r="S4" i="101" s="1"/>
  <c r="T4" i="101" s="1"/>
  <c r="K21" i="101"/>
  <c r="M21" i="101" s="1"/>
  <c r="X3" i="101"/>
  <c r="S5" i="101" s="1"/>
  <c r="T5" i="101" s="1"/>
  <c r="C32" i="101"/>
  <c r="L4" i="101"/>
  <c r="L7" i="101" s="1"/>
  <c r="L9" i="101" s="1"/>
  <c r="K7" i="101"/>
  <c r="T6" i="101"/>
  <c r="U6" i="101"/>
  <c r="H4" i="101"/>
  <c r="P5" i="101"/>
  <c r="P7" i="101" s="1"/>
  <c r="P9" i="101" s="1"/>
  <c r="C26" i="101"/>
  <c r="L19" i="101"/>
  <c r="M19" i="101" s="1"/>
  <c r="M5" i="101" s="1"/>
  <c r="N5" i="101" s="1"/>
  <c r="B7" i="101" l="1"/>
  <c r="D7" i="101"/>
  <c r="D11" i="101" s="1"/>
  <c r="G7" i="101"/>
  <c r="H7" i="101"/>
  <c r="H9" i="101" s="1"/>
  <c r="U4" i="101"/>
  <c r="S7" i="101"/>
  <c r="U5" i="101"/>
  <c r="N7" i="101"/>
  <c r="N9" i="101" s="1"/>
  <c r="M7" i="101"/>
  <c r="T7" i="101"/>
  <c r="T9" i="101" s="1"/>
  <c r="U7" i="101" l="1"/>
  <c r="J7" i="121"/>
  <c r="J9" i="121" s="1"/>
  <c r="I7" i="121"/>
  <c r="U7" i="121" s="1"/>
  <c r="U4" i="121" l="1"/>
</calcChain>
</file>

<file path=xl/sharedStrings.xml><?xml version="1.0" encoding="utf-8"?>
<sst xmlns="http://schemas.openxmlformats.org/spreadsheetml/2006/main" count="2752" uniqueCount="88">
  <si>
    <t>Particular</t>
  </si>
  <si>
    <t>Qty</t>
  </si>
  <si>
    <t>Rate</t>
  </si>
  <si>
    <t>Amount</t>
  </si>
  <si>
    <t>Pos SBI</t>
  </si>
  <si>
    <t>Paytm</t>
  </si>
  <si>
    <t>HP Card</t>
  </si>
  <si>
    <t>ICICI</t>
  </si>
  <si>
    <t>phone pe</t>
  </si>
  <si>
    <t>mobiquick</t>
  </si>
  <si>
    <t xml:space="preserve">CASH </t>
  </si>
  <si>
    <t>Credit</t>
  </si>
  <si>
    <t>Qty Diffrence</t>
  </si>
  <si>
    <t>diesal</t>
  </si>
  <si>
    <t>Petrol</t>
  </si>
  <si>
    <t>petrol</t>
  </si>
  <si>
    <t>Diesal</t>
  </si>
  <si>
    <t>Petrol Power</t>
  </si>
  <si>
    <t>Actual Amount</t>
  </si>
  <si>
    <t xml:space="preserve"> </t>
  </si>
  <si>
    <t>Diffrence should be zero</t>
  </si>
  <si>
    <t>sales value diff</t>
  </si>
  <si>
    <t>Power</t>
  </si>
  <si>
    <t>CREDIT DETAIL</t>
  </si>
  <si>
    <t>particular</t>
  </si>
  <si>
    <t xml:space="preserve">Type </t>
  </si>
  <si>
    <t>QTY</t>
  </si>
  <si>
    <t>RATE</t>
  </si>
  <si>
    <t>AMOUNT</t>
  </si>
  <si>
    <t>inv no</t>
  </si>
  <si>
    <t>om tra</t>
  </si>
  <si>
    <t>Unlimited power by Anthony robbins</t>
  </si>
  <si>
    <t>Compund effect</t>
  </si>
  <si>
    <t>by darren hardy</t>
  </si>
  <si>
    <t>leaders eat last</t>
  </si>
  <si>
    <t>attitute is everything</t>
  </si>
  <si>
    <t>jef caller</t>
  </si>
  <si>
    <t>seven strategies</t>
  </si>
  <si>
    <t>by jim rohn</t>
  </si>
  <si>
    <t>gdfg</t>
  </si>
  <si>
    <t>balaji hospital</t>
  </si>
  <si>
    <t>vandna School</t>
  </si>
  <si>
    <t>piploda</t>
  </si>
  <si>
    <t>dinesh</t>
  </si>
  <si>
    <t>monu</t>
  </si>
  <si>
    <t xml:space="preserve">mool Chand yadav </t>
  </si>
  <si>
    <t>Shyam  Tran.</t>
  </si>
  <si>
    <t>Shyam Tran.</t>
  </si>
  <si>
    <t>vandana school</t>
  </si>
  <si>
    <t>indra devi</t>
  </si>
  <si>
    <t>19/9/2025</t>
  </si>
  <si>
    <t>arjun</t>
  </si>
  <si>
    <t xml:space="preserve">shankar lal </t>
  </si>
  <si>
    <t xml:space="preserve">Piploda </t>
  </si>
  <si>
    <t>Total</t>
  </si>
  <si>
    <t>sayar School</t>
  </si>
  <si>
    <t xml:space="preserve">mk Soler </t>
  </si>
  <si>
    <t>Piploda</t>
  </si>
  <si>
    <t>Dinesh</t>
  </si>
  <si>
    <t>Akshat</t>
  </si>
  <si>
    <t xml:space="preserve">piploda 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</si>
  <si>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</si>
  <si>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</si>
  <si>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</si>
  <si>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</si>
  <si>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</si>
  <si>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</si>
  <si>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</si>
  <si>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</si>
  <si>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22597//601</t>
  </si>
  <si>
    <t>21/11/2025</t>
  </si>
  <si>
    <t>22/11/2025</t>
  </si>
  <si>
    <t xml:space="preserve">kedia </t>
  </si>
  <si>
    <t>23/11/2025</t>
  </si>
  <si>
    <t>24/11/2025</t>
  </si>
  <si>
    <t>aasha devi</t>
  </si>
  <si>
    <t>25/11/2025</t>
  </si>
  <si>
    <t>26/11/2025</t>
  </si>
  <si>
    <t>26/11/2026</t>
  </si>
  <si>
    <t>26/11/2027</t>
  </si>
  <si>
    <t>26/11/2028</t>
  </si>
  <si>
    <t>26/11/2029</t>
  </si>
  <si>
    <t>26/11/2030</t>
  </si>
  <si>
    <t>26/11/2031</t>
  </si>
  <si>
    <t>27/11/2025</t>
  </si>
  <si>
    <t>28/11/2025</t>
  </si>
  <si>
    <t>29/11/2025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</si>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</sst>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_ "/>
    <numFmt numFmtId="166" formatCode="0.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name val="Times New Roman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53511154515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3" fillId="2" borderId="4" xfId="0" applyNumberFormat="1" applyFont="1" applyFill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0" fillId="0" borderId="10" xfId="0" applyBorder="1"/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13" xfId="0" applyNumberFormat="1" applyFont="1" applyBorder="1" applyAlignment="1">
      <alignment vertical="center"/>
    </xf>
    <xf numFmtId="2" fontId="5" fillId="2" borderId="14" xfId="0" applyNumberFormat="1" applyFont="1" applyFill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2" fontId="0" fillId="0" borderId="17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/>
    <xf numFmtId="2" fontId="7" fillId="0" borderId="0" xfId="0" applyNumberFormat="1" applyFont="1"/>
    <xf numFmtId="2" fontId="0" fillId="0" borderId="0" xfId="0" applyNumberFormat="1"/>
    <xf numFmtId="0" fontId="8" fillId="0" borderId="2" xfId="0" applyFont="1" applyBorder="1"/>
    <xf numFmtId="0" fontId="0" fillId="0" borderId="2" xfId="0" applyBorder="1"/>
    <xf numFmtId="0" fontId="5" fillId="0" borderId="2" xfId="0" applyFont="1" applyBorder="1"/>
    <xf numFmtId="2" fontId="8" fillId="0" borderId="2" xfId="0" applyNumberFormat="1" applyFont="1" applyBorder="1"/>
    <xf numFmtId="0" fontId="6" fillId="0" borderId="1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/>
    <xf numFmtId="0" fontId="6" fillId="0" borderId="2" xfId="0" applyFont="1" applyBorder="1"/>
    <xf numFmtId="164" fontId="8" fillId="0" borderId="2" xfId="1" applyFont="1" applyFill="1" applyBorder="1" applyAlignment="1"/>
    <xf numFmtId="3" fontId="0" fillId="0" borderId="2" xfId="0" applyNumberFormat="1" applyBorder="1"/>
    <xf numFmtId="2" fontId="0" fillId="0" borderId="2" xfId="0" applyNumberFormat="1" applyBorder="1"/>
    <xf numFmtId="2" fontId="0" fillId="0" borderId="19" xfId="0" applyNumberFormat="1" applyBorder="1"/>
    <xf numFmtId="165" fontId="8" fillId="0" borderId="2" xfId="0" applyNumberFormat="1" applyFont="1" applyBorder="1"/>
    <xf numFmtId="0" fontId="0" fillId="2" borderId="2" xfId="0" applyFill="1" applyBorder="1"/>
    <xf numFmtId="0" fontId="8" fillId="0" borderId="0" xfId="0" applyFont="1"/>
    <xf numFmtId="2" fontId="3" fillId="0" borderId="4" xfId="0" applyNumberFormat="1" applyFont="1" applyBorder="1" applyAlignment="1">
      <alignment horizontal="center" vertical="center"/>
    </xf>
    <xf numFmtId="2" fontId="0" fillId="2" borderId="2" xfId="0" applyNumberFormat="1" applyFill="1" applyBorder="1"/>
    <xf numFmtId="166" fontId="0" fillId="0" borderId="2" xfId="0" applyNumberFormat="1" applyBorder="1"/>
    <xf numFmtId="3" fontId="0" fillId="0" borderId="2" xfId="0" quotePrefix="1" applyNumberFormat="1" applyBorder="1" applyAlignment="1">
      <alignment horizontal="right"/>
    </xf>
    <xf numFmtId="14" fontId="0" fillId="0" borderId="2" xfId="0" applyNumberFormat="1" applyBorder="1"/>
    <xf numFmtId="14" fontId="0" fillId="0" borderId="0" xfId="0" applyNumberFormat="1"/>
    <xf numFmtId="0" fontId="8" fillId="0" borderId="20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B4AA-7234-4664-941C-040D4D7BFEEA}">
  <dimension ref="A1:X50"/>
  <sheetViews>
    <sheetView workbookViewId="0">
      <selection activeCell="S20" sqref="S20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232.18989025606919</v>
      </c>
    </row>
    <row r="4" spans="1:24" s="4" customFormat="1">
      <c r="A4" s="5" t="s">
        <v>14</v>
      </c>
      <c r="B4" s="14">
        <f>H16</f>
        <v>2101.5184796103526</v>
      </c>
      <c r="C4" s="6">
        <v>104.71</v>
      </c>
      <c r="D4" s="7">
        <f>B4*C4</f>
        <v>220050</v>
      </c>
      <c r="E4" s="8">
        <v>0</v>
      </c>
      <c r="F4" s="9">
        <f>+E4*C4</f>
        <v>0</v>
      </c>
      <c r="G4" s="8">
        <f>+K20</f>
        <v>801.8634323369306</v>
      </c>
      <c r="H4" s="9">
        <f>+G4*C4</f>
        <v>83963.12</v>
      </c>
      <c r="I4" s="8">
        <f>J4/C4</f>
        <v>0</v>
      </c>
      <c r="J4" s="9">
        <v>0</v>
      </c>
      <c r="K4" s="10">
        <f>+M17</f>
        <v>0</v>
      </c>
      <c r="L4" s="9">
        <f>+K4*C4</f>
        <v>0</v>
      </c>
      <c r="M4" s="11">
        <f>+M15</f>
        <v>98.633559354407424</v>
      </c>
      <c r="N4" s="9">
        <f t="shared" ref="N4:N6" si="0">+M4*C4</f>
        <v>10327.92</v>
      </c>
      <c r="O4" s="11"/>
      <c r="P4" s="9">
        <f>+O4*C4</f>
        <v>0</v>
      </c>
      <c r="Q4" s="8">
        <v>1201.0214879190146</v>
      </c>
      <c r="R4" s="9">
        <f>+Q4*C4</f>
        <v>125758.96</v>
      </c>
      <c r="S4" s="12">
        <f>+X4</f>
        <v>0</v>
      </c>
      <c r="T4" s="9">
        <f>+S4*C4</f>
        <v>0</v>
      </c>
      <c r="U4" s="13">
        <f>+B4-E4-G4-Q4-S4-K4-I4-M4-O4</f>
        <v>2.8421709430404007E-14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1836.6034807670992</v>
      </c>
      <c r="C5" s="6">
        <v>90.21</v>
      </c>
      <c r="D5" s="7">
        <f>B5*C5</f>
        <v>165680</v>
      </c>
      <c r="E5" s="8">
        <v>0</v>
      </c>
      <c r="F5" s="9">
        <f>+E5*C5</f>
        <v>0</v>
      </c>
      <c r="G5" s="8">
        <f>+M16</f>
        <v>101.5146879503381</v>
      </c>
      <c r="H5" s="9">
        <f>+G5*C5</f>
        <v>9157.64</v>
      </c>
      <c r="I5" s="8">
        <f>+J8/C5</f>
        <v>27.934818756235451</v>
      </c>
      <c r="J5" s="9">
        <f>+I5*C5</f>
        <v>2520</v>
      </c>
      <c r="K5" s="8">
        <v>0</v>
      </c>
      <c r="L5" s="9">
        <f>+K5*C5</f>
        <v>0</v>
      </c>
      <c r="M5" s="11">
        <f>+M19</f>
        <v>844.81121826848471</v>
      </c>
      <c r="N5" s="9">
        <f t="shared" si="0"/>
        <v>76210.42</v>
      </c>
      <c r="O5" s="11">
        <f>+P8/C5</f>
        <v>0</v>
      </c>
      <c r="P5" s="9">
        <f>+O5*C5</f>
        <v>0</v>
      </c>
      <c r="Q5" s="8">
        <v>630.15286553597161</v>
      </c>
      <c r="R5" s="9">
        <f>+Q5*C5</f>
        <v>56846.09</v>
      </c>
      <c r="S5" s="12">
        <f>+X3</f>
        <v>232.18989025606919</v>
      </c>
      <c r="T5" s="9">
        <f>+S5*C5</f>
        <v>20945.849999999999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57.189716312056738</v>
      </c>
      <c r="C6" s="6">
        <v>112.8</v>
      </c>
      <c r="D6" s="7">
        <f>B6*C6</f>
        <v>6451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57.189716312056738</v>
      </c>
      <c r="R6" s="9">
        <f>+Q6*C6</f>
        <v>6451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3995.3116766895082</v>
      </c>
      <c r="C7" s="5"/>
      <c r="D7" s="15">
        <f>SUM(D4:D6)</f>
        <v>392181</v>
      </c>
      <c r="E7" s="16">
        <f>SUM(E4:E6)</f>
        <v>0</v>
      </c>
      <c r="F7" s="17">
        <f>SUM(F4:F6)</f>
        <v>0</v>
      </c>
      <c r="G7" s="16">
        <f t="shared" ref="G7:T7" si="1">SUM(G4:G6)</f>
        <v>903.37812028726876</v>
      </c>
      <c r="H7" s="17">
        <f>SUM(H4:H6)</f>
        <v>93120.76</v>
      </c>
      <c r="I7" s="16">
        <f>SUM(I4:I6)</f>
        <v>27.934818756235451</v>
      </c>
      <c r="J7" s="17">
        <f t="shared" si="1"/>
        <v>2520</v>
      </c>
      <c r="K7" s="16">
        <f t="shared" si="1"/>
        <v>0</v>
      </c>
      <c r="L7" s="17">
        <f t="shared" si="1"/>
        <v>0</v>
      </c>
      <c r="M7" s="16">
        <f t="shared" si="1"/>
        <v>943.44477762289216</v>
      </c>
      <c r="N7" s="17">
        <f t="shared" si="1"/>
        <v>86538.34</v>
      </c>
      <c r="O7" s="16">
        <f t="shared" si="1"/>
        <v>0</v>
      </c>
      <c r="P7" s="17">
        <f t="shared" si="1"/>
        <v>0</v>
      </c>
      <c r="Q7" s="16">
        <v>1888.3640697670426</v>
      </c>
      <c r="R7" s="17">
        <f>SUM(R4:R6)</f>
        <v>189056.05</v>
      </c>
      <c r="S7" s="16">
        <f t="shared" si="1"/>
        <v>232.18989025606919</v>
      </c>
      <c r="T7" s="17">
        <f t="shared" si="1"/>
        <v>20945.849999999999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93120.76</v>
      </c>
      <c r="I8" s="20"/>
      <c r="J8" s="21">
        <v>2520</v>
      </c>
      <c r="K8" s="20"/>
      <c r="L8" s="21">
        <v>0</v>
      </c>
      <c r="M8" s="22"/>
      <c r="N8" s="21">
        <v>86538.34</v>
      </c>
      <c r="O8" s="22" t="s">
        <v>19</v>
      </c>
      <c r="P8" s="21">
        <v>0</v>
      </c>
      <c r="Q8" s="20">
        <v>0</v>
      </c>
      <c r="R8" s="21">
        <v>179455</v>
      </c>
      <c r="S8" s="20"/>
      <c r="T8" s="21">
        <v>30546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9601.0499999999884</v>
      </c>
      <c r="S9" s="23"/>
      <c r="T9" s="24">
        <f>+T7-T8</f>
        <v>-9600.1500000000015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0.89999999999417923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89778</v>
      </c>
      <c r="I13" s="41">
        <v>56026</v>
      </c>
      <c r="J13" s="32">
        <v>6451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130272</v>
      </c>
      <c r="I14" s="41">
        <v>30807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7" t="s">
        <v>45</v>
      </c>
      <c r="B15" s="38" t="s">
        <v>13</v>
      </c>
      <c r="C15" s="31">
        <f t="shared" ref="C15:C25" si="2">+E15/D15</f>
        <v>72.069947899345976</v>
      </c>
      <c r="D15" s="32">
        <v>90.21</v>
      </c>
      <c r="E15" s="39">
        <v>6501.43</v>
      </c>
      <c r="F15" s="38">
        <v>22496</v>
      </c>
      <c r="H15" s="41">
        <v>0</v>
      </c>
      <c r="I15" s="41">
        <v>78847</v>
      </c>
      <c r="J15" s="41"/>
      <c r="K15" s="42">
        <v>10327.92</v>
      </c>
      <c r="L15" s="32">
        <f>+C4</f>
        <v>104.71</v>
      </c>
      <c r="M15" s="32">
        <f>+K15/L15</f>
        <v>98.633559354407424</v>
      </c>
      <c r="P15">
        <v>38634.78</v>
      </c>
      <c r="V15">
        <f>2123+9236+3417.23+18069.1</f>
        <v>32845.33</v>
      </c>
    </row>
    <row r="16" spans="1:24">
      <c r="A16" s="37" t="s">
        <v>49</v>
      </c>
      <c r="B16" s="38" t="s">
        <v>13</v>
      </c>
      <c r="C16" s="31">
        <f t="shared" si="2"/>
        <v>58.199977829508931</v>
      </c>
      <c r="D16" s="32">
        <v>90.21</v>
      </c>
      <c r="E16" s="39">
        <v>5250.22</v>
      </c>
      <c r="F16" s="38">
        <v>22497</v>
      </c>
      <c r="H16" s="32">
        <f>+H24/C4</f>
        <v>2101.5184796103526</v>
      </c>
      <c r="I16" s="48">
        <f>+I24/C5</f>
        <v>1836.6034807670992</v>
      </c>
      <c r="J16" s="48">
        <f>+J24/C6</f>
        <v>57.189716312056738</v>
      </c>
      <c r="K16" s="42">
        <v>9157.64</v>
      </c>
      <c r="L16" s="32">
        <f>+C5</f>
        <v>90.21</v>
      </c>
      <c r="M16" s="41">
        <f>+K16/L16</f>
        <v>101.5146879503381</v>
      </c>
      <c r="P16">
        <v>68665.22</v>
      </c>
    </row>
    <row r="17" spans="1:16">
      <c r="A17" s="37" t="s">
        <v>52</v>
      </c>
      <c r="B17" s="38" t="s">
        <v>13</v>
      </c>
      <c r="C17" s="31">
        <f t="shared" si="2"/>
        <v>101.91996452721429</v>
      </c>
      <c r="D17" s="32">
        <v>90.21</v>
      </c>
      <c r="E17" s="43">
        <v>9194.2000000000007</v>
      </c>
      <c r="F17" s="38">
        <v>22499</v>
      </c>
      <c r="H17" s="30"/>
      <c r="K17" s="41">
        <v>0</v>
      </c>
      <c r="L17" s="32">
        <f>+C4</f>
        <v>104.71</v>
      </c>
      <c r="M17" s="32">
        <f>+K17/L17</f>
        <v>0</v>
      </c>
      <c r="P17">
        <v>62847.72</v>
      </c>
    </row>
    <row r="18" spans="1:16">
      <c r="A18" s="37" t="s">
        <v>46</v>
      </c>
      <c r="B18" s="38" t="s">
        <v>13</v>
      </c>
      <c r="C18" s="31">
        <f t="shared" si="2"/>
        <v>0</v>
      </c>
      <c r="D18" s="32">
        <f>+VLOOKUP(B18,A$4:C$6,3,0)</f>
        <v>90.21</v>
      </c>
      <c r="E18" s="43">
        <v>0</v>
      </c>
      <c r="F18" s="38"/>
      <c r="P18">
        <v>199</v>
      </c>
    </row>
    <row r="19" spans="1:16">
      <c r="A19" s="37" t="s">
        <v>43</v>
      </c>
      <c r="B19" s="38" t="s">
        <v>13</v>
      </c>
      <c r="C19" s="31">
        <f t="shared" si="2"/>
        <v>0</v>
      </c>
      <c r="D19" s="32">
        <f>+VLOOKUP(B19,A$4:C$6,3,0)</f>
        <v>90.21</v>
      </c>
      <c r="E19" s="43">
        <v>0</v>
      </c>
      <c r="F19" s="49"/>
      <c r="H19">
        <f>179130.55+24221.9</f>
        <v>203352.44999999998</v>
      </c>
      <c r="K19" s="47">
        <v>76210.42</v>
      </c>
      <c r="L19" s="32">
        <f>+L16</f>
        <v>90.21</v>
      </c>
      <c r="M19" s="41">
        <f>+K19/L19</f>
        <v>844.81121826848471</v>
      </c>
      <c r="P19">
        <v>163569</v>
      </c>
    </row>
    <row r="20" spans="1:16">
      <c r="A20" s="37" t="s">
        <v>40</v>
      </c>
      <c r="B20" s="38" t="s">
        <v>15</v>
      </c>
      <c r="C20" s="31">
        <f t="shared" si="2"/>
        <v>0</v>
      </c>
      <c r="D20" s="32">
        <f>+VLOOKUP(B20,A$4:C$6,3,0)</f>
        <v>104.71</v>
      </c>
      <c r="E20" s="43">
        <v>0</v>
      </c>
      <c r="F20" s="32"/>
      <c r="K20" s="41">
        <f>+M20/L20</f>
        <v>801.8634323369306</v>
      </c>
      <c r="L20" s="32">
        <f>+C4</f>
        <v>104.71</v>
      </c>
      <c r="M20" s="44">
        <v>83963.12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si="2"/>
        <v>0</v>
      </c>
      <c r="D21" s="32">
        <f t="shared" ref="D21:D25" si="3">+VLOOKUP(B21,A$4:C$6,3,0)</f>
        <v>90.21</v>
      </c>
      <c r="E21" s="43">
        <v>0</v>
      </c>
      <c r="F21" s="40"/>
      <c r="H21" s="45"/>
      <c r="K21" s="30">
        <f>+N8-K15</f>
        <v>76210.42</v>
      </c>
      <c r="L21" s="32">
        <f>+L16</f>
        <v>90.21</v>
      </c>
      <c r="M21" s="41">
        <f>+K21/L21</f>
        <v>844.81121826848471</v>
      </c>
    </row>
    <row r="22" spans="1:16">
      <c r="A22" s="37" t="s">
        <v>30</v>
      </c>
      <c r="B22" s="38" t="s">
        <v>13</v>
      </c>
      <c r="C22" s="31">
        <f t="shared" si="2"/>
        <v>0</v>
      </c>
      <c r="D22" s="32">
        <f t="shared" si="3"/>
        <v>90.21</v>
      </c>
      <c r="E22" s="43"/>
      <c r="F22" s="32"/>
    </row>
    <row r="23" spans="1:16">
      <c r="A23" s="38"/>
      <c r="B23" s="38" t="s">
        <v>13</v>
      </c>
      <c r="C23" s="31">
        <f t="shared" si="2"/>
        <v>0</v>
      </c>
      <c r="D23" s="32">
        <f t="shared" si="3"/>
        <v>90.21</v>
      </c>
      <c r="E23" s="43"/>
      <c r="F23" s="32"/>
    </row>
    <row r="24" spans="1:16">
      <c r="A24" s="38"/>
      <c r="B24" s="38" t="s">
        <v>15</v>
      </c>
      <c r="C24" s="31">
        <f t="shared" si="2"/>
        <v>0</v>
      </c>
      <c r="D24" s="32">
        <f t="shared" si="3"/>
        <v>104.71</v>
      </c>
      <c r="E24" s="31"/>
      <c r="F24" s="32"/>
      <c r="H24" s="30">
        <f>+H13+H14+H15</f>
        <v>220050</v>
      </c>
      <c r="I24" s="30">
        <f t="shared" ref="I24:J24" si="4">+I13+I14+I15</f>
        <v>165680</v>
      </c>
      <c r="J24" s="30">
        <f t="shared" si="4"/>
        <v>6451</v>
      </c>
    </row>
    <row r="25" spans="1:16">
      <c r="A25" s="38"/>
      <c r="B25" s="38" t="s">
        <v>15</v>
      </c>
      <c r="C25" s="31">
        <f t="shared" si="2"/>
        <v>0</v>
      </c>
      <c r="D25" s="32">
        <f t="shared" si="3"/>
        <v>104.71</v>
      </c>
      <c r="E25" s="31"/>
      <c r="F25" s="32"/>
      <c r="H25" s="30"/>
    </row>
    <row r="26" spans="1:16">
      <c r="A26" s="32"/>
      <c r="B26" s="32"/>
      <c r="C26" s="31">
        <f>SUM(C15:C25)</f>
        <v>232.18989025606919</v>
      </c>
      <c r="D26" s="31"/>
      <c r="E26" s="31">
        <f>SUM(E15:E25)</f>
        <v>20945.850000000002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130.2699257288549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5AAF-76B4-4124-AC96-3B4535C989B7}">
  <dimension ref="A1:X50"/>
  <sheetViews>
    <sheetView workbookViewId="0">
      <selection activeCell="S22" sqref="S2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436.88992351180582</v>
      </c>
    </row>
    <row r="4" spans="1:24" s="4" customFormat="1">
      <c r="A4" s="5" t="s">
        <v>14</v>
      </c>
      <c r="B4" s="14">
        <f>H16</f>
        <v>2115.9583611880435</v>
      </c>
      <c r="C4" s="6">
        <v>104.71</v>
      </c>
      <c r="D4" s="7">
        <f>B4*C4</f>
        <v>221562.00000000003</v>
      </c>
      <c r="E4" s="8">
        <v>0</v>
      </c>
      <c r="F4" s="9">
        <f>+E4*C4</f>
        <v>0</v>
      </c>
      <c r="G4" s="8">
        <f>+K20</f>
        <v>770.379237895139</v>
      </c>
      <c r="H4" s="9">
        <f>+G4*C4</f>
        <v>80666.41</v>
      </c>
      <c r="I4" s="8">
        <f>J4/C4</f>
        <v>0</v>
      </c>
      <c r="J4" s="9">
        <v>0</v>
      </c>
      <c r="K4" s="10">
        <f>+M17</f>
        <v>57.301117371788756</v>
      </c>
      <c r="L4" s="9">
        <f>+K4*C4</f>
        <v>6000</v>
      </c>
      <c r="M4" s="11">
        <f>+M15</f>
        <v>149.51742908986725</v>
      </c>
      <c r="N4" s="9">
        <f t="shared" ref="N4:N6" si="0">+M4*C4</f>
        <v>15655.97</v>
      </c>
      <c r="O4" s="11"/>
      <c r="P4" s="9">
        <f>+O4*C4</f>
        <v>0</v>
      </c>
      <c r="Q4" s="8">
        <v>1132.9568965297301</v>
      </c>
      <c r="R4" s="9">
        <f>+Q4*C4</f>
        <v>118631.91663562803</v>
      </c>
      <c r="S4" s="12">
        <f>+X4</f>
        <v>5.8036803015186784</v>
      </c>
      <c r="T4" s="9">
        <f>+S4*C4</f>
        <v>607.70336437202081</v>
      </c>
      <c r="U4" s="13">
        <f>+B4-E4-G4-Q4-S4-K4-I4-M4-O4</f>
        <v>-2.2737367544323206E-13</v>
      </c>
      <c r="W4" t="s">
        <v>15</v>
      </c>
      <c r="X4" s="4">
        <f>+SUMIFS(C15:C26,B15:B26,W4)</f>
        <v>5.8036803015186784</v>
      </c>
    </row>
    <row r="5" spans="1:24" s="4" customFormat="1">
      <c r="A5" s="5" t="s">
        <v>16</v>
      </c>
      <c r="B5" s="14">
        <f>I16</f>
        <v>1870.7016960425674</v>
      </c>
      <c r="C5" s="6">
        <v>90.21</v>
      </c>
      <c r="D5" s="7">
        <f>B5*C5</f>
        <v>168756</v>
      </c>
      <c r="E5" s="8">
        <v>0</v>
      </c>
      <c r="F5" s="9">
        <f>+E5*C5</f>
        <v>0</v>
      </c>
      <c r="G5" s="8">
        <f>+M16</f>
        <v>80.740494401951011</v>
      </c>
      <c r="H5" s="9">
        <f>+G5*C5</f>
        <v>7283.6</v>
      </c>
      <c r="I5" s="8">
        <f>+J8/C5</f>
        <v>27.713113845471678</v>
      </c>
      <c r="J5" s="9">
        <f>+I5*C5</f>
        <v>2500</v>
      </c>
      <c r="K5" s="8">
        <v>0</v>
      </c>
      <c r="L5" s="9">
        <f>+K5*C5</f>
        <v>0</v>
      </c>
      <c r="M5" s="11">
        <f>+M19</f>
        <v>1135.7223145992684</v>
      </c>
      <c r="N5" s="9">
        <f t="shared" si="0"/>
        <v>102453.51</v>
      </c>
      <c r="O5" s="11">
        <f>+P8/C5</f>
        <v>0</v>
      </c>
      <c r="P5" s="9">
        <f>+O5*C5</f>
        <v>0</v>
      </c>
      <c r="Q5" s="8">
        <v>189.63584968407031</v>
      </c>
      <c r="R5" s="9">
        <f>+Q5*C5</f>
        <v>17107.049999999981</v>
      </c>
      <c r="S5" s="12">
        <f>+X3</f>
        <v>436.88992351180582</v>
      </c>
      <c r="T5" s="9">
        <f>+S5*C5</f>
        <v>39411.840000000004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18.794326241134751</v>
      </c>
      <c r="C6" s="6">
        <v>112.8</v>
      </c>
      <c r="D6" s="7">
        <f>B6*C6</f>
        <v>2120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18.794326241134751</v>
      </c>
      <c r="R6" s="9">
        <f>+Q6*C6</f>
        <v>2120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4005.4543834717456</v>
      </c>
      <c r="C7" s="5"/>
      <c r="D7" s="15">
        <f>SUM(D4:D6)</f>
        <v>392438</v>
      </c>
      <c r="E7" s="16">
        <f>SUM(E4:E6)</f>
        <v>0</v>
      </c>
      <c r="F7" s="17">
        <f>SUM(F4:F6)</f>
        <v>0</v>
      </c>
      <c r="G7" s="16">
        <f t="shared" ref="G7:T7" si="1">SUM(G4:G6)</f>
        <v>851.11973229708997</v>
      </c>
      <c r="H7" s="17">
        <f>SUM(H4:H6)</f>
        <v>87950.010000000009</v>
      </c>
      <c r="I7" s="16">
        <f>SUM(I4:I6)</f>
        <v>27.713113845471678</v>
      </c>
      <c r="J7" s="17">
        <f t="shared" si="1"/>
        <v>2500</v>
      </c>
      <c r="K7" s="16">
        <f t="shared" si="1"/>
        <v>57.301117371788756</v>
      </c>
      <c r="L7" s="17">
        <f t="shared" si="1"/>
        <v>6000</v>
      </c>
      <c r="M7" s="16">
        <f t="shared" si="1"/>
        <v>1285.2397436891356</v>
      </c>
      <c r="N7" s="17">
        <f t="shared" si="1"/>
        <v>118109.48</v>
      </c>
      <c r="O7" s="16">
        <f t="shared" si="1"/>
        <v>0</v>
      </c>
      <c r="P7" s="17">
        <f t="shared" si="1"/>
        <v>0</v>
      </c>
      <c r="Q7" s="16">
        <v>1341.3870724549356</v>
      </c>
      <c r="R7" s="17">
        <f>SUM(R4:R6)</f>
        <v>137858.96663562802</v>
      </c>
      <c r="S7" s="16">
        <f t="shared" si="1"/>
        <v>442.6936038133245</v>
      </c>
      <c r="T7" s="17">
        <f t="shared" si="1"/>
        <v>40019.543364372024</v>
      </c>
      <c r="U7" s="13">
        <f>+B7-E7-G7-Q7-S7-K7-I7-M7-O7</f>
        <v>-2.2737367544323206E-13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87950.01</v>
      </c>
      <c r="I8" s="20"/>
      <c r="J8" s="21">
        <v>2500</v>
      </c>
      <c r="K8" s="20"/>
      <c r="L8" s="21">
        <v>6000</v>
      </c>
      <c r="M8" s="22"/>
      <c r="N8" s="21">
        <v>118109.48</v>
      </c>
      <c r="O8" s="22" t="s">
        <v>19</v>
      </c>
      <c r="P8" s="21">
        <v>0</v>
      </c>
      <c r="Q8" s="20">
        <v>0</v>
      </c>
      <c r="R8" s="21">
        <v>131621</v>
      </c>
      <c r="S8" s="20"/>
      <c r="T8" s="21">
        <v>46257.99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6237.9666356280213</v>
      </c>
      <c r="S9" s="23"/>
      <c r="T9" s="24">
        <f>+T7-T8</f>
        <v>-6238.4466356279736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-0.47999999999592546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111283</v>
      </c>
      <c r="I13" s="41">
        <v>78123</v>
      </c>
      <c r="J13" s="32">
        <v>2120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110279</v>
      </c>
      <c r="I14" s="41">
        <v>24230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7" t="s">
        <v>53</v>
      </c>
      <c r="B15" s="38" t="s">
        <v>13</v>
      </c>
      <c r="C15" s="31">
        <f t="shared" ref="C15:C17" si="2">+E15/D15</f>
        <v>254.95998226360715</v>
      </c>
      <c r="D15" s="32">
        <v>90.21</v>
      </c>
      <c r="E15" s="43">
        <v>22999.94</v>
      </c>
      <c r="F15" s="38">
        <v>22500</v>
      </c>
      <c r="H15" s="41">
        <v>0</v>
      </c>
      <c r="I15" s="41">
        <v>66403</v>
      </c>
      <c r="J15" s="41"/>
      <c r="K15" s="42">
        <v>15655.97</v>
      </c>
      <c r="L15" s="32">
        <f>+C4</f>
        <v>104.71</v>
      </c>
      <c r="M15" s="32">
        <f>+K15/L15</f>
        <v>149.51742908986725</v>
      </c>
      <c r="P15">
        <v>38634.78</v>
      </c>
      <c r="V15">
        <f>2123+9236+3417.23+18069.1</f>
        <v>32845.33</v>
      </c>
    </row>
    <row r="16" spans="1:24">
      <c r="A16" s="37" t="s">
        <v>45</v>
      </c>
      <c r="B16" s="38" t="s">
        <v>15</v>
      </c>
      <c r="C16" s="31">
        <f t="shared" si="2"/>
        <v>5.8036803015186784</v>
      </c>
      <c r="D16" s="32">
        <v>90.21</v>
      </c>
      <c r="E16" s="43">
        <v>523.54999999999995</v>
      </c>
      <c r="F16" s="38">
        <v>22501</v>
      </c>
      <c r="H16" s="32">
        <f>+H24/C4</f>
        <v>2115.9583611880435</v>
      </c>
      <c r="I16" s="48">
        <f>+I24/C5</f>
        <v>1870.7016960425674</v>
      </c>
      <c r="J16" s="48">
        <f>+J24/C6</f>
        <v>18.794326241134751</v>
      </c>
      <c r="K16" s="42">
        <v>7283.6</v>
      </c>
      <c r="L16" s="32">
        <f>+C5</f>
        <v>90.21</v>
      </c>
      <c r="M16" s="41">
        <f>+K16/L16</f>
        <v>80.740494401951011</v>
      </c>
      <c r="P16">
        <v>68665.22</v>
      </c>
    </row>
    <row r="17" spans="1:16">
      <c r="A17" s="37" t="s">
        <v>45</v>
      </c>
      <c r="B17" s="38" t="s">
        <v>13</v>
      </c>
      <c r="C17" s="31">
        <f t="shared" si="2"/>
        <v>181.92994124819867</v>
      </c>
      <c r="D17" s="32">
        <v>90.21</v>
      </c>
      <c r="E17" s="43">
        <v>16411.900000000001</v>
      </c>
      <c r="F17" s="38">
        <v>22503</v>
      </c>
      <c r="H17" s="30"/>
      <c r="K17" s="41">
        <v>6000</v>
      </c>
      <c r="L17" s="32">
        <f>+C4</f>
        <v>104.71</v>
      </c>
      <c r="M17" s="32">
        <f>+K17/L17</f>
        <v>57.301117371788756</v>
      </c>
      <c r="P17">
        <v>62847.72</v>
      </c>
    </row>
    <row r="18" spans="1:16">
      <c r="A18" s="37" t="s">
        <v>46</v>
      </c>
      <c r="B18" s="38" t="s">
        <v>13</v>
      </c>
      <c r="C18" s="31">
        <f t="shared" ref="C18:C25" si="3">+E18/D18</f>
        <v>0</v>
      </c>
      <c r="D18" s="32">
        <f>+VLOOKUP(B18,A$4:C$6,3,0)</f>
        <v>90.21</v>
      </c>
      <c r="E18" s="43">
        <v>0</v>
      </c>
      <c r="F18" s="38"/>
      <c r="P18">
        <v>199</v>
      </c>
    </row>
    <row r="19" spans="1:16">
      <c r="A19" s="37" t="s">
        <v>43</v>
      </c>
      <c r="B19" s="38" t="s">
        <v>13</v>
      </c>
      <c r="C19" s="31">
        <f t="shared" si="3"/>
        <v>0</v>
      </c>
      <c r="D19" s="32">
        <f>+VLOOKUP(B19,A$4:C$6,3,0)</f>
        <v>90.21</v>
      </c>
      <c r="E19" s="43">
        <v>0</v>
      </c>
      <c r="F19" s="49"/>
      <c r="H19">
        <f>179130.55+24221.9</f>
        <v>203352.44999999998</v>
      </c>
      <c r="K19" s="47">
        <v>102453.51</v>
      </c>
      <c r="L19" s="32">
        <f>+L16</f>
        <v>90.21</v>
      </c>
      <c r="M19" s="41">
        <f>+K19/L19</f>
        <v>1135.7223145992684</v>
      </c>
      <c r="P19">
        <v>163569</v>
      </c>
    </row>
    <row r="20" spans="1:16">
      <c r="A20" s="37" t="s">
        <v>40</v>
      </c>
      <c r="B20" s="38" t="s">
        <v>15</v>
      </c>
      <c r="C20" s="31">
        <f t="shared" si="3"/>
        <v>0</v>
      </c>
      <c r="D20" s="32">
        <f>+VLOOKUP(B20,A$4:C$6,3,0)</f>
        <v>104.71</v>
      </c>
      <c r="E20" s="43">
        <v>0</v>
      </c>
      <c r="F20" s="32"/>
      <c r="K20" s="41">
        <f>+M20/L20</f>
        <v>770.379237895139</v>
      </c>
      <c r="L20" s="32">
        <f>+C4</f>
        <v>104.71</v>
      </c>
      <c r="M20" s="44">
        <v>80666.41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si="3"/>
        <v>0</v>
      </c>
      <c r="D21" s="32">
        <f t="shared" ref="D21:D22" si="4">+VLOOKUP(B21,A$4:C$6,3,0)</f>
        <v>90.21</v>
      </c>
      <c r="E21" s="43">
        <v>0</v>
      </c>
      <c r="F21" s="40"/>
      <c r="H21" s="45"/>
      <c r="K21" s="30">
        <f>+N8-K15</f>
        <v>102453.51</v>
      </c>
      <c r="L21" s="32">
        <f>+L16</f>
        <v>90.21</v>
      </c>
      <c r="M21" s="41">
        <f>+K21/L21</f>
        <v>1135.7223145992684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ref="D23:D25" si="5">+VLOOKUP(B23,A$4:C$6,3,0)</f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5"/>
        <v>104.71</v>
      </c>
      <c r="E24" s="31"/>
      <c r="F24" s="32"/>
      <c r="H24" s="30">
        <f>+H13+H14+H15</f>
        <v>221562</v>
      </c>
      <c r="I24" s="30">
        <f t="shared" ref="I24:J24" si="6">+I13+I14+I15</f>
        <v>168756</v>
      </c>
      <c r="J24" s="30">
        <f t="shared" si="6"/>
        <v>2120</v>
      </c>
    </row>
    <row r="25" spans="1:16">
      <c r="A25" s="38"/>
      <c r="B25" s="38" t="s">
        <v>15</v>
      </c>
      <c r="C25" s="31">
        <f t="shared" si="3"/>
        <v>0</v>
      </c>
      <c r="D25" s="32">
        <f t="shared" si="5"/>
        <v>104.71</v>
      </c>
      <c r="E25" s="31"/>
      <c r="F25" s="32"/>
      <c r="H25" s="30"/>
    </row>
    <row r="26" spans="1:16">
      <c r="A26" s="32"/>
      <c r="B26" s="32"/>
      <c r="C26" s="31">
        <f>SUM(C15:C25)</f>
        <v>442.69360381332444</v>
      </c>
      <c r="D26" s="31"/>
      <c r="E26" s="31">
        <f>SUM(E15:E25)</f>
        <v>39935.39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260.7636625651258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543E-002E-4BE4-98E1-B54CCE3A8850}">
  <dimension ref="A1:X50"/>
  <sheetViews>
    <sheetView workbookViewId="0">
      <selection activeCell="S17" sqref="S1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401.6221039796032</v>
      </c>
    </row>
    <row r="4" spans="1:24" s="4" customFormat="1">
      <c r="A4" s="5" t="s">
        <v>14</v>
      </c>
      <c r="B4" s="14">
        <f>H16</f>
        <v>1698.6438735555344</v>
      </c>
      <c r="C4" s="6">
        <v>104.71</v>
      </c>
      <c r="D4" s="7">
        <f>B4*C4</f>
        <v>177865</v>
      </c>
      <c r="E4" s="8">
        <v>0</v>
      </c>
      <c r="F4" s="9">
        <f>+E4*C4</f>
        <v>0</v>
      </c>
      <c r="G4" s="8">
        <f>+K20</f>
        <v>508.46165600229205</v>
      </c>
      <c r="H4" s="9">
        <f>+G4*C4</f>
        <v>53241.02</v>
      </c>
      <c r="I4" s="8">
        <f>J4/C4</f>
        <v>0</v>
      </c>
      <c r="J4" s="9">
        <v>0</v>
      </c>
      <c r="K4" s="10">
        <f>+M17</f>
        <v>75.967911374271807</v>
      </c>
      <c r="L4" s="9">
        <f>+K4*C4</f>
        <v>7954.6</v>
      </c>
      <c r="M4" s="11">
        <f>+M15</f>
        <v>362.11278769936018</v>
      </c>
      <c r="N4" s="9">
        <f t="shared" ref="N4:N6" si="0">+M4*C4</f>
        <v>37916.83</v>
      </c>
      <c r="O4" s="11"/>
      <c r="P4" s="9">
        <f>+O4*C4</f>
        <v>0</v>
      </c>
      <c r="Q4" s="8">
        <v>752.10151847961026</v>
      </c>
      <c r="R4" s="9">
        <f>+Q4*C4</f>
        <v>78752.549999999988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1668.5068174260061</v>
      </c>
      <c r="C5" s="6">
        <v>90.21</v>
      </c>
      <c r="D5" s="7">
        <f>B5*C5</f>
        <v>150516</v>
      </c>
      <c r="E5" s="8">
        <v>0</v>
      </c>
      <c r="F5" s="9">
        <f>+E5*C5</f>
        <v>0</v>
      </c>
      <c r="G5" s="8">
        <f>+M16</f>
        <v>37.950892362265826</v>
      </c>
      <c r="H5" s="9">
        <f>+G5*C5</f>
        <v>3423.5499999999997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1049.1591841259285</v>
      </c>
      <c r="N5" s="9">
        <f t="shared" si="0"/>
        <v>94644.650000000009</v>
      </c>
      <c r="O5" s="11">
        <f>+P8/C5</f>
        <v>0</v>
      </c>
      <c r="P5" s="9">
        <f>+O5*C5</f>
        <v>0</v>
      </c>
      <c r="Q5" s="8">
        <v>179.77463695820848</v>
      </c>
      <c r="R5" s="9">
        <f>+Q5*C5</f>
        <v>16217.469999999985</v>
      </c>
      <c r="S5" s="12">
        <f>+X3</f>
        <v>401.6221039796032</v>
      </c>
      <c r="T5" s="9">
        <f>+S5*C5</f>
        <v>36230.33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110.36347517730496</v>
      </c>
      <c r="C6" s="6">
        <v>112.8</v>
      </c>
      <c r="D6" s="7">
        <f>B6*C6</f>
        <v>12449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110.36347517730496</v>
      </c>
      <c r="R6" s="9">
        <f>+Q6*C6</f>
        <v>12449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3477.5141661588459</v>
      </c>
      <c r="C7" s="5"/>
      <c r="D7" s="15">
        <f>SUM(D4:D6)</f>
        <v>340830</v>
      </c>
      <c r="E7" s="16">
        <f>SUM(E4:E6)</f>
        <v>0</v>
      </c>
      <c r="F7" s="17">
        <f>SUM(F4:F6)</f>
        <v>0</v>
      </c>
      <c r="G7" s="16">
        <f t="shared" ref="G7:T7" si="1">SUM(G4:G6)</f>
        <v>546.41254836455789</v>
      </c>
      <c r="H7" s="17">
        <f>SUM(H4:H6)</f>
        <v>56664.57</v>
      </c>
      <c r="I7" s="16">
        <f>SUM(I4:I6)</f>
        <v>0</v>
      </c>
      <c r="J7" s="17">
        <f t="shared" si="1"/>
        <v>0</v>
      </c>
      <c r="K7" s="16">
        <f t="shared" si="1"/>
        <v>75.967911374271807</v>
      </c>
      <c r="L7" s="17">
        <f t="shared" si="1"/>
        <v>7954.6</v>
      </c>
      <c r="M7" s="16">
        <f t="shared" si="1"/>
        <v>1411.2719718252888</v>
      </c>
      <c r="N7" s="17">
        <f t="shared" si="1"/>
        <v>132561.48000000001</v>
      </c>
      <c r="O7" s="16">
        <f t="shared" si="1"/>
        <v>0</v>
      </c>
      <c r="P7" s="17">
        <f t="shared" si="1"/>
        <v>0</v>
      </c>
      <c r="Q7" s="16">
        <v>1042.239630615124</v>
      </c>
      <c r="R7" s="17">
        <f>SUM(R4:R6)</f>
        <v>107419.01999999997</v>
      </c>
      <c r="S7" s="16">
        <f t="shared" si="1"/>
        <v>401.6221039796032</v>
      </c>
      <c r="T7" s="17">
        <f t="shared" si="1"/>
        <v>36230.33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56664.57</v>
      </c>
      <c r="I8" s="20"/>
      <c r="J8" s="21">
        <v>0</v>
      </c>
      <c r="K8" s="20"/>
      <c r="L8" s="21">
        <v>7954.6</v>
      </c>
      <c r="M8" s="22"/>
      <c r="N8" s="21">
        <v>132561.48000000001</v>
      </c>
      <c r="O8" s="22" t="s">
        <v>19</v>
      </c>
      <c r="P8" s="21">
        <v>0</v>
      </c>
      <c r="Q8" s="20">
        <v>0</v>
      </c>
      <c r="R8" s="21">
        <v>106894</v>
      </c>
      <c r="S8" s="20"/>
      <c r="T8" s="21">
        <v>36755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525.01999999997497</v>
      </c>
      <c r="S9" s="23"/>
      <c r="T9" s="24">
        <f>+T7-T8</f>
        <v>-524.66999999999825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0.35000000000582077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88959</v>
      </c>
      <c r="I13" s="41">
        <v>46314</v>
      </c>
      <c r="J13" s="32">
        <v>12449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88906</v>
      </c>
      <c r="I14" s="41">
        <v>44655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>+E15/D15</f>
        <v>30.90998780622991</v>
      </c>
      <c r="D15" s="32">
        <v>90.21</v>
      </c>
      <c r="E15" s="43">
        <v>2788.39</v>
      </c>
      <c r="F15" s="38">
        <v>22504</v>
      </c>
      <c r="H15" s="41">
        <v>0</v>
      </c>
      <c r="I15" s="41">
        <v>59547</v>
      </c>
      <c r="J15" s="41"/>
      <c r="K15" s="42">
        <v>37916.83</v>
      </c>
      <c r="L15" s="32">
        <f>+C4</f>
        <v>104.71</v>
      </c>
      <c r="M15" s="32">
        <f>+K15/L15</f>
        <v>362.11278769936018</v>
      </c>
      <c r="P15">
        <v>38634.78</v>
      </c>
      <c r="V15">
        <f>2123+9236+3417.23+18069.1</f>
        <v>32845.33</v>
      </c>
    </row>
    <row r="16" spans="1:24">
      <c r="A16" s="38" t="s">
        <v>57</v>
      </c>
      <c r="B16" s="38" t="s">
        <v>13</v>
      </c>
      <c r="C16" s="31">
        <f t="shared" ref="C16:C20" si="2">+E16/D16</f>
        <v>221.70491076377343</v>
      </c>
      <c r="D16" s="32">
        <v>90.21</v>
      </c>
      <c r="E16" s="31">
        <v>20000</v>
      </c>
      <c r="F16" s="38">
        <v>22505</v>
      </c>
      <c r="H16" s="32">
        <f>+H24/C4</f>
        <v>1698.6438735555344</v>
      </c>
      <c r="I16" s="48">
        <f>+I24/C5</f>
        <v>1668.5068174260061</v>
      </c>
      <c r="J16" s="48">
        <f>+J24/C6</f>
        <v>110.36347517730496</v>
      </c>
      <c r="K16" s="42">
        <v>3423.55</v>
      </c>
      <c r="L16" s="32">
        <f>+C5</f>
        <v>90.21</v>
      </c>
      <c r="M16" s="41">
        <f>+K16/L16</f>
        <v>37.950892362265826</v>
      </c>
      <c r="P16">
        <v>68665.22</v>
      </c>
    </row>
    <row r="17" spans="1:16">
      <c r="A17" s="38" t="s">
        <v>55</v>
      </c>
      <c r="B17" s="38" t="s">
        <v>13</v>
      </c>
      <c r="C17" s="31">
        <f t="shared" si="2"/>
        <v>44.229907992462039</v>
      </c>
      <c r="D17" s="32">
        <v>90.21</v>
      </c>
      <c r="E17" s="31">
        <v>3989.98</v>
      </c>
      <c r="F17" s="38">
        <v>22506</v>
      </c>
      <c r="H17" s="30"/>
      <c r="K17" s="41">
        <v>7954.6</v>
      </c>
      <c r="L17" s="32">
        <f>+C4</f>
        <v>104.71</v>
      </c>
      <c r="M17" s="32">
        <f>+K17/L17</f>
        <v>75.967911374271807</v>
      </c>
      <c r="P17">
        <v>62847.72</v>
      </c>
    </row>
    <row r="18" spans="1:16">
      <c r="A18" s="38" t="s">
        <v>56</v>
      </c>
      <c r="B18" s="38" t="s">
        <v>13</v>
      </c>
      <c r="C18" s="31">
        <f t="shared" si="2"/>
        <v>43.794479547721984</v>
      </c>
      <c r="D18" s="32">
        <v>90.21</v>
      </c>
      <c r="E18" s="31">
        <v>3950.7</v>
      </c>
      <c r="F18" s="38">
        <v>22507</v>
      </c>
      <c r="P18">
        <v>199</v>
      </c>
    </row>
    <row r="19" spans="1:16">
      <c r="A19" s="38" t="s">
        <v>47</v>
      </c>
      <c r="B19" s="38" t="s">
        <v>13</v>
      </c>
      <c r="C19" s="31">
        <f t="shared" si="2"/>
        <v>21.172818977940363</v>
      </c>
      <c r="D19" s="32">
        <v>90.21</v>
      </c>
      <c r="E19" s="52">
        <v>1910</v>
      </c>
      <c r="F19" s="38">
        <v>22508</v>
      </c>
      <c r="H19">
        <f>179130.55+24221.9</f>
        <v>203352.44999999998</v>
      </c>
      <c r="K19" s="47">
        <v>94644.65</v>
      </c>
      <c r="L19" s="32">
        <f>+L16</f>
        <v>90.21</v>
      </c>
      <c r="M19" s="41">
        <f>+K19/L19</f>
        <v>1049.1591841259285</v>
      </c>
      <c r="P19">
        <v>163569</v>
      </c>
    </row>
    <row r="20" spans="1:16">
      <c r="A20" s="38" t="s">
        <v>47</v>
      </c>
      <c r="B20" s="38" t="s">
        <v>13</v>
      </c>
      <c r="C20" s="31">
        <f t="shared" si="2"/>
        <v>39.809998891475452</v>
      </c>
      <c r="D20" s="32">
        <v>90.21</v>
      </c>
      <c r="E20" s="52">
        <v>3591.26</v>
      </c>
      <c r="F20" s="38">
        <v>22509</v>
      </c>
      <c r="K20" s="41">
        <f>+M20/L20</f>
        <v>508.46165600229205</v>
      </c>
      <c r="L20" s="32">
        <f>+C4</f>
        <v>104.71</v>
      </c>
      <c r="M20" s="44">
        <v>53241.02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ref="C21:C25" si="3">+E21/D21</f>
        <v>0</v>
      </c>
      <c r="D21" s="32">
        <f t="shared" ref="D21:D25" si="4">+VLOOKUP(B21,A$4:C$6,3,0)</f>
        <v>90.21</v>
      </c>
      <c r="E21" s="43">
        <v>0</v>
      </c>
      <c r="F21" s="40"/>
      <c r="H21" s="45"/>
      <c r="K21" s="30">
        <f>+N8-K15</f>
        <v>94644.650000000009</v>
      </c>
      <c r="L21" s="32">
        <f>+L16</f>
        <v>90.21</v>
      </c>
      <c r="M21" s="41">
        <f>+K21/L21</f>
        <v>1049.1591841259285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si="4"/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4"/>
        <v>104.71</v>
      </c>
      <c r="E24" s="31"/>
      <c r="F24" s="32"/>
      <c r="H24" s="30">
        <f>+H13+H14+H15</f>
        <v>177865</v>
      </c>
      <c r="I24" s="30">
        <f t="shared" ref="I24:J24" si="5">+I13+I14+I15</f>
        <v>150516</v>
      </c>
      <c r="J24" s="30">
        <f t="shared" si="5"/>
        <v>12449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401.6221039796032</v>
      </c>
      <c r="D26" s="31"/>
      <c r="E26" s="31">
        <f>SUM(E15:E25)</f>
        <v>36230.33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252.61489857000333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10BC-8B46-41BB-8E11-E58198126FFC}">
  <dimension ref="A1:X50"/>
  <sheetViews>
    <sheetView workbookViewId="0">
      <selection activeCell="T21" sqref="T2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726.97971400066524</v>
      </c>
    </row>
    <row r="4" spans="1:24" s="4" customFormat="1">
      <c r="A4" s="5" t="s">
        <v>14</v>
      </c>
      <c r="B4" s="14">
        <f>H16</f>
        <v>1497.8130073536436</v>
      </c>
      <c r="C4" s="6">
        <v>104.71</v>
      </c>
      <c r="D4" s="7">
        <f>B4*C4</f>
        <v>156836</v>
      </c>
      <c r="E4" s="8">
        <v>0</v>
      </c>
      <c r="F4" s="9">
        <f>+E4*C4</f>
        <v>0</v>
      </c>
      <c r="G4" s="8">
        <f>+K20</f>
        <v>416.67682169802316</v>
      </c>
      <c r="H4" s="9">
        <f>+G4*C4</f>
        <v>43630.23</v>
      </c>
      <c r="I4" s="8">
        <f>J4/C4</f>
        <v>0</v>
      </c>
      <c r="J4" s="9">
        <v>0</v>
      </c>
      <c r="K4" s="10">
        <f>+M17</f>
        <v>66.746156050042984</v>
      </c>
      <c r="L4" s="9">
        <f>+K4*C4</f>
        <v>6988.9900000000007</v>
      </c>
      <c r="M4" s="11">
        <f>+M15</f>
        <v>454.2068570337122</v>
      </c>
      <c r="N4" s="9">
        <f t="shared" ref="N4:N6" si="0">+M4*C4</f>
        <v>47560</v>
      </c>
      <c r="O4" s="11"/>
      <c r="P4" s="9">
        <f>+O4*C4</f>
        <v>0</v>
      </c>
      <c r="Q4" s="8">
        <v>560.18317257186527</v>
      </c>
      <c r="R4" s="9">
        <f>+Q4*C4</f>
        <v>58656.780000000006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1874.0494401951005</v>
      </c>
      <c r="C5" s="6">
        <v>90.21</v>
      </c>
      <c r="D5" s="7">
        <f>B5*C5</f>
        <v>169058</v>
      </c>
      <c r="E5" s="8">
        <v>0</v>
      </c>
      <c r="F5" s="9">
        <f>+E5*C5</f>
        <v>0</v>
      </c>
      <c r="G5" s="8">
        <f>+M16</f>
        <v>159.20374681299194</v>
      </c>
      <c r="H5" s="9">
        <f>+G5*C5</f>
        <v>14361.770000000002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772.52366699922413</v>
      </c>
      <c r="N5" s="9">
        <f t="shared" si="0"/>
        <v>69689.36</v>
      </c>
      <c r="O5" s="11">
        <f>+P8/C5</f>
        <v>0</v>
      </c>
      <c r="P5" s="9">
        <f>+O5*C5</f>
        <v>0</v>
      </c>
      <c r="Q5" s="8">
        <v>215.34231238221912</v>
      </c>
      <c r="R5" s="9">
        <f>+Q5*C5</f>
        <v>19426.029999999984</v>
      </c>
      <c r="S5" s="12">
        <f>+X3</f>
        <v>726.97971400066524</v>
      </c>
      <c r="T5" s="9">
        <f>+S5*C5</f>
        <v>65580.840000000011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53.98936170212766</v>
      </c>
      <c r="C6" s="6">
        <v>112.8</v>
      </c>
      <c r="D6" s="7">
        <f>B6*C6</f>
        <v>6090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53.98936170212766</v>
      </c>
      <c r="R6" s="9">
        <f>+Q6*C6</f>
        <v>6090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3425.8518092508716</v>
      </c>
      <c r="C7" s="5"/>
      <c r="D7" s="15">
        <f>SUM(D4:D6)</f>
        <v>331984</v>
      </c>
      <c r="E7" s="16">
        <f>SUM(E4:E6)</f>
        <v>0</v>
      </c>
      <c r="F7" s="17">
        <f>SUM(F4:F6)</f>
        <v>0</v>
      </c>
      <c r="G7" s="16">
        <f t="shared" ref="G7:T7" si="1">SUM(G4:G6)</f>
        <v>575.8805685110151</v>
      </c>
      <c r="H7" s="17">
        <f>SUM(H4:H6)</f>
        <v>57992.000000000007</v>
      </c>
      <c r="I7" s="16">
        <f>SUM(I4:I6)</f>
        <v>0</v>
      </c>
      <c r="J7" s="17">
        <f t="shared" si="1"/>
        <v>0</v>
      </c>
      <c r="K7" s="16">
        <f t="shared" si="1"/>
        <v>66.746156050042984</v>
      </c>
      <c r="L7" s="17">
        <f t="shared" si="1"/>
        <v>6988.9900000000007</v>
      </c>
      <c r="M7" s="16">
        <f t="shared" si="1"/>
        <v>1226.7305240329363</v>
      </c>
      <c r="N7" s="17">
        <f t="shared" si="1"/>
        <v>117249.36</v>
      </c>
      <c r="O7" s="16">
        <f t="shared" si="1"/>
        <v>0</v>
      </c>
      <c r="P7" s="17">
        <f t="shared" si="1"/>
        <v>0</v>
      </c>
      <c r="Q7" s="16">
        <v>829.51484665621206</v>
      </c>
      <c r="R7" s="17">
        <f>SUM(R4:R6)</f>
        <v>84172.81</v>
      </c>
      <c r="S7" s="16">
        <f t="shared" si="1"/>
        <v>726.97971400066524</v>
      </c>
      <c r="T7" s="17">
        <f t="shared" si="1"/>
        <v>65580.840000000011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57992</v>
      </c>
      <c r="I8" s="20"/>
      <c r="J8" s="21">
        <v>0</v>
      </c>
      <c r="K8" s="20"/>
      <c r="L8" s="21">
        <v>6988.99</v>
      </c>
      <c r="M8" s="22"/>
      <c r="N8" s="21">
        <v>117249.36</v>
      </c>
      <c r="O8" s="22" t="s">
        <v>19</v>
      </c>
      <c r="P8" s="21">
        <v>0</v>
      </c>
      <c r="Q8" s="20">
        <v>0</v>
      </c>
      <c r="R8" s="21">
        <v>84171</v>
      </c>
      <c r="S8" s="20"/>
      <c r="T8" s="21">
        <v>65582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1.8099999999976717</v>
      </c>
      <c r="S9" s="23"/>
      <c r="T9" s="24">
        <f>+T7-T8</f>
        <v>-1.1599999999889405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0.65000000000873115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63633</v>
      </c>
      <c r="I13" s="41">
        <v>58896</v>
      </c>
      <c r="J13" s="32">
        <v>6090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93203</v>
      </c>
      <c r="I14" s="41">
        <v>46568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57</v>
      </c>
      <c r="B15" s="38" t="s">
        <v>13</v>
      </c>
      <c r="C15" s="31">
        <f t="shared" ref="C15:C20" si="2">+E15/D15</f>
        <v>221.69992240328125</v>
      </c>
      <c r="D15" s="32">
        <v>90.21</v>
      </c>
      <c r="E15" s="43">
        <v>19999.55</v>
      </c>
      <c r="F15" s="38">
        <v>22510</v>
      </c>
      <c r="H15" s="41">
        <v>0</v>
      </c>
      <c r="I15" s="41">
        <v>63594</v>
      </c>
      <c r="J15" s="41"/>
      <c r="K15" s="42">
        <v>47560</v>
      </c>
      <c r="L15" s="32">
        <f>+C4</f>
        <v>104.71</v>
      </c>
      <c r="M15" s="32">
        <f>+K15/L15</f>
        <v>454.2068570337122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212.49994457377232</v>
      </c>
      <c r="D16" s="32">
        <v>90.21</v>
      </c>
      <c r="E16" s="43">
        <v>19169.62</v>
      </c>
      <c r="F16" s="38">
        <v>22511</v>
      </c>
      <c r="H16" s="32">
        <f>+H24/C4</f>
        <v>1497.8130073536436</v>
      </c>
      <c r="I16" s="48">
        <f>+I24/C5</f>
        <v>1874.0494401951005</v>
      </c>
      <c r="J16" s="48">
        <f>+J24/C6</f>
        <v>53.98936170212766</v>
      </c>
      <c r="K16" s="42">
        <v>14361.77</v>
      </c>
      <c r="L16" s="32">
        <f>+C5</f>
        <v>90.21</v>
      </c>
      <c r="M16" s="41">
        <f>+K16/L16</f>
        <v>159.20374681299194</v>
      </c>
      <c r="P16">
        <v>68665.22</v>
      </c>
    </row>
    <row r="17" spans="1:16">
      <c r="A17" s="38" t="s">
        <v>57</v>
      </c>
      <c r="B17" s="38" t="s">
        <v>13</v>
      </c>
      <c r="C17" s="31">
        <f t="shared" si="2"/>
        <v>90.349961201640625</v>
      </c>
      <c r="D17" s="32">
        <v>90.21</v>
      </c>
      <c r="E17" s="43">
        <v>8150.47</v>
      </c>
      <c r="F17" s="38">
        <v>22512</v>
      </c>
      <c r="H17" s="30"/>
      <c r="K17" s="41">
        <v>6988.99</v>
      </c>
      <c r="L17" s="32">
        <f>+C4</f>
        <v>104.71</v>
      </c>
      <c r="M17" s="32">
        <f>+K17/L17</f>
        <v>66.746156050042984</v>
      </c>
      <c r="P17">
        <v>62847.72</v>
      </c>
    </row>
    <row r="18" spans="1:16">
      <c r="A18" s="38" t="s">
        <v>56</v>
      </c>
      <c r="B18" s="38" t="s">
        <v>13</v>
      </c>
      <c r="C18" s="31">
        <f t="shared" si="2"/>
        <v>32.149983372131693</v>
      </c>
      <c r="D18" s="32">
        <v>90.21</v>
      </c>
      <c r="E18" s="43">
        <v>2900.25</v>
      </c>
      <c r="F18" s="38">
        <v>22513</v>
      </c>
      <c r="P18">
        <v>199</v>
      </c>
    </row>
    <row r="19" spans="1:16">
      <c r="A19" s="38" t="s">
        <v>48</v>
      </c>
      <c r="B19" s="38" t="s">
        <v>13</v>
      </c>
      <c r="C19" s="31">
        <f t="shared" si="2"/>
        <v>132.58995676754242</v>
      </c>
      <c r="D19" s="32">
        <v>90.21</v>
      </c>
      <c r="E19" s="43">
        <v>11960.94</v>
      </c>
      <c r="F19" s="38">
        <v>22514</v>
      </c>
      <c r="H19">
        <f>179130.55+24221.9</f>
        <v>203352.44999999998</v>
      </c>
      <c r="K19" s="47">
        <v>69689.36</v>
      </c>
      <c r="L19" s="32">
        <f>+L16</f>
        <v>90.21</v>
      </c>
      <c r="M19" s="41">
        <f>+K19/L19</f>
        <v>772.52366699922413</v>
      </c>
      <c r="P19">
        <v>163569</v>
      </c>
    </row>
    <row r="20" spans="1:16">
      <c r="A20" s="38" t="s">
        <v>58</v>
      </c>
      <c r="B20" s="38" t="s">
        <v>13</v>
      </c>
      <c r="C20" s="31">
        <f t="shared" si="2"/>
        <v>37.689945682296866</v>
      </c>
      <c r="D20" s="32">
        <v>90.21</v>
      </c>
      <c r="E20" s="43">
        <v>3400.01</v>
      </c>
      <c r="F20" s="38">
        <v>22516</v>
      </c>
      <c r="K20" s="41">
        <f>+M20/L20</f>
        <v>416.67682169802316</v>
      </c>
      <c r="L20" s="32">
        <f>+C4</f>
        <v>104.71</v>
      </c>
      <c r="M20" s="44">
        <v>43630.23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ref="C21:C25" si="3">+E21/D21</f>
        <v>0</v>
      </c>
      <c r="D21" s="32">
        <f t="shared" ref="D21:D25" si="4">+VLOOKUP(B21,A$4:C$6,3,0)</f>
        <v>90.21</v>
      </c>
      <c r="E21" s="43">
        <v>0</v>
      </c>
      <c r="F21" s="40"/>
      <c r="H21" s="45"/>
      <c r="K21" s="30">
        <f>+N8-K15</f>
        <v>69689.36</v>
      </c>
      <c r="L21" s="32">
        <f>+L16</f>
        <v>90.21</v>
      </c>
      <c r="M21" s="41">
        <f>+K21/L21</f>
        <v>772.52366699922413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si="4"/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4"/>
        <v>104.71</v>
      </c>
      <c r="E24" s="31"/>
      <c r="F24" s="32"/>
      <c r="H24" s="30">
        <f>+H13+H14+H15</f>
        <v>156836</v>
      </c>
      <c r="I24" s="30">
        <f t="shared" ref="I24:J24" si="5">+I13+I14+I15</f>
        <v>169058</v>
      </c>
      <c r="J24" s="30">
        <f t="shared" si="5"/>
        <v>6090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726.97971400066524</v>
      </c>
      <c r="D26" s="31"/>
      <c r="E26" s="31">
        <f>SUM(E15:E25)</f>
        <v>65580.84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434.1998669770536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420F-5C05-48A1-857C-B6216DC7FE97}">
  <dimension ref="A1:X50"/>
  <sheetViews>
    <sheetView workbookViewId="0">
      <selection activeCell="U20" sqref="U20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141.59982263607139</v>
      </c>
    </row>
    <row r="4" spans="1:24" s="4" customFormat="1">
      <c r="A4" s="5" t="s">
        <v>14</v>
      </c>
      <c r="B4" s="14">
        <f>H16</f>
        <v>1851.1794479992361</v>
      </c>
      <c r="C4" s="6">
        <v>104.71</v>
      </c>
      <c r="D4" s="7">
        <f>B4*C4</f>
        <v>193837</v>
      </c>
      <c r="E4" s="8">
        <v>0</v>
      </c>
      <c r="F4" s="9">
        <f>+E4*C4</f>
        <v>0</v>
      </c>
      <c r="G4" s="8">
        <f>+K20</f>
        <v>661.21277814917391</v>
      </c>
      <c r="H4" s="9">
        <f>+G4*C4</f>
        <v>69235.59</v>
      </c>
      <c r="I4" s="8">
        <f>J4/C4</f>
        <v>0</v>
      </c>
      <c r="J4" s="9">
        <v>0</v>
      </c>
      <c r="K4" s="10">
        <f>+M17</f>
        <v>88.666985006207625</v>
      </c>
      <c r="L4" s="9">
        <f>+K4*C4</f>
        <v>9284.32</v>
      </c>
      <c r="M4" s="11">
        <f>+M15</f>
        <v>512.27198930379143</v>
      </c>
      <c r="N4" s="9">
        <f t="shared" ref="N4:N6" si="0">+M4*C4</f>
        <v>53640</v>
      </c>
      <c r="O4" s="11"/>
      <c r="P4" s="9">
        <f>+O4*C4</f>
        <v>0</v>
      </c>
      <c r="Q4" s="8">
        <v>589.02769554006329</v>
      </c>
      <c r="R4" s="9">
        <f>+Q4*C4</f>
        <v>61677.090000000026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1522.2259173040684</v>
      </c>
      <c r="C5" s="6">
        <v>90.21</v>
      </c>
      <c r="D5" s="7">
        <f>B5*C5</f>
        <v>137320</v>
      </c>
      <c r="E5" s="8">
        <v>0</v>
      </c>
      <c r="F5" s="9">
        <f>+E5*C5</f>
        <v>0</v>
      </c>
      <c r="G5" s="8">
        <f>+M16</f>
        <v>201.18634297749696</v>
      </c>
      <c r="H5" s="9">
        <f>+G5*C5</f>
        <v>18149.02</v>
      </c>
      <c r="I5" s="8">
        <f>+J8/C5</f>
        <v>38.299523334441858</v>
      </c>
      <c r="J5" s="9">
        <f>+I5*C5</f>
        <v>3454.9999999999995</v>
      </c>
      <c r="K5" s="8">
        <v>0</v>
      </c>
      <c r="L5" s="9">
        <f>+K5*C5</f>
        <v>0</v>
      </c>
      <c r="M5" s="11">
        <f>+M19</f>
        <v>672.10874625872964</v>
      </c>
      <c r="N5" s="9">
        <f t="shared" si="0"/>
        <v>60630.929999999993</v>
      </c>
      <c r="O5" s="11">
        <f>+P8/C5</f>
        <v>0</v>
      </c>
      <c r="P5" s="9">
        <f>+O5*C5</f>
        <v>0</v>
      </c>
      <c r="Q5" s="8">
        <v>469.03148209732865</v>
      </c>
      <c r="R5" s="9">
        <f>+Q5*C5</f>
        <v>42311.330000000016</v>
      </c>
      <c r="S5" s="12">
        <f>+X3</f>
        <v>141.59982263607139</v>
      </c>
      <c r="T5" s="9">
        <f>+S5*C5</f>
        <v>12773.72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10</v>
      </c>
      <c r="C6" s="6">
        <v>112.8</v>
      </c>
      <c r="D6" s="7">
        <f>B6*C6</f>
        <v>1128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10</v>
      </c>
      <c r="R6" s="9">
        <f>+Q6*C6</f>
        <v>1128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3383.4053653033043</v>
      </c>
      <c r="C7" s="5"/>
      <c r="D7" s="15">
        <f>SUM(D4:D6)</f>
        <v>332285</v>
      </c>
      <c r="E7" s="16">
        <f>SUM(E4:E6)</f>
        <v>0</v>
      </c>
      <c r="F7" s="17">
        <f>SUM(F4:F6)</f>
        <v>0</v>
      </c>
      <c r="G7" s="16">
        <f t="shared" ref="G7:T7" si="1">SUM(G4:G6)</f>
        <v>862.39912112667093</v>
      </c>
      <c r="H7" s="17">
        <f>SUM(H4:H6)</f>
        <v>87384.61</v>
      </c>
      <c r="I7" s="16">
        <f>SUM(I4:I6)</f>
        <v>38.299523334441858</v>
      </c>
      <c r="J7" s="17">
        <f t="shared" si="1"/>
        <v>3454.9999999999995</v>
      </c>
      <c r="K7" s="16">
        <f t="shared" si="1"/>
        <v>88.666985006207625</v>
      </c>
      <c r="L7" s="17">
        <f t="shared" si="1"/>
        <v>9284.32</v>
      </c>
      <c r="M7" s="16">
        <f t="shared" si="1"/>
        <v>1184.3807355625211</v>
      </c>
      <c r="N7" s="17">
        <f t="shared" si="1"/>
        <v>114270.93</v>
      </c>
      <c r="O7" s="16">
        <f t="shared" si="1"/>
        <v>0</v>
      </c>
      <c r="P7" s="17">
        <f t="shared" si="1"/>
        <v>0</v>
      </c>
      <c r="Q7" s="16">
        <v>1068.059177637391</v>
      </c>
      <c r="R7" s="17">
        <f>SUM(R4:R6)</f>
        <v>105116.42000000004</v>
      </c>
      <c r="S7" s="16">
        <f t="shared" si="1"/>
        <v>141.59982263607139</v>
      </c>
      <c r="T7" s="17">
        <f t="shared" si="1"/>
        <v>12773.72</v>
      </c>
      <c r="U7" s="13">
        <f>+B7-E7-G7-Q7-S7-K7-I7-M7-O7</f>
        <v>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87384.61</v>
      </c>
      <c r="I8" s="20"/>
      <c r="J8" s="21">
        <v>3455</v>
      </c>
      <c r="K8" s="20"/>
      <c r="L8" s="21">
        <v>9284.32</v>
      </c>
      <c r="M8" s="22"/>
      <c r="N8" s="21">
        <v>114270.93</v>
      </c>
      <c r="O8" s="22" t="s">
        <v>19</v>
      </c>
      <c r="P8" s="21">
        <v>0</v>
      </c>
      <c r="Q8" s="20">
        <v>0</v>
      </c>
      <c r="R8" s="21">
        <v>98998</v>
      </c>
      <c r="S8" s="20"/>
      <c r="T8" s="21">
        <v>18892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6118.4200000000419</v>
      </c>
      <c r="S9" s="23"/>
      <c r="T9" s="24">
        <f>+T7-T8</f>
        <v>-6118.2800000000007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0.14000000001396984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87180</v>
      </c>
      <c r="I13" s="41">
        <v>56549</v>
      </c>
      <c r="J13" s="32">
        <v>1128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106657</v>
      </c>
      <c r="I14" s="41">
        <v>44205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49</v>
      </c>
      <c r="B15" s="38" t="s">
        <v>13</v>
      </c>
      <c r="C15" s="31">
        <f t="shared" ref="C15:C16" si="2">+E15/D15</f>
        <v>91.379891364593718</v>
      </c>
      <c r="D15" s="32">
        <v>90.21</v>
      </c>
      <c r="E15" s="43">
        <v>8243.3799999999992</v>
      </c>
      <c r="F15" s="38">
        <v>22517</v>
      </c>
      <c r="H15" s="41">
        <v>0</v>
      </c>
      <c r="I15" s="41">
        <v>36566</v>
      </c>
      <c r="J15" s="41"/>
      <c r="K15" s="42">
        <v>53640</v>
      </c>
      <c r="L15" s="32">
        <f>+C4</f>
        <v>104.71</v>
      </c>
      <c r="M15" s="32">
        <f>+K15/L15</f>
        <v>512.27198930379143</v>
      </c>
      <c r="P15">
        <v>38634.78</v>
      </c>
      <c r="V15">
        <f>2123+9236+3417.23+18069.1</f>
        <v>32845.33</v>
      </c>
    </row>
    <row r="16" spans="1:24">
      <c r="A16" s="38" t="s">
        <v>49</v>
      </c>
      <c r="B16" s="38" t="s">
        <v>13</v>
      </c>
      <c r="C16" s="31">
        <f t="shared" si="2"/>
        <v>50.21993127147767</v>
      </c>
      <c r="D16" s="32">
        <v>90.21</v>
      </c>
      <c r="E16" s="43">
        <v>4530.34</v>
      </c>
      <c r="F16" s="38">
        <v>22518</v>
      </c>
      <c r="H16" s="32">
        <f>+H24/C4</f>
        <v>1851.1794479992361</v>
      </c>
      <c r="I16" s="48">
        <f>+I24/C5</f>
        <v>1522.2259173040684</v>
      </c>
      <c r="J16" s="48">
        <f>+J24/C6</f>
        <v>10</v>
      </c>
      <c r="K16" s="42">
        <v>18149.02</v>
      </c>
      <c r="L16" s="32">
        <f>+C5</f>
        <v>90.21</v>
      </c>
      <c r="M16" s="41">
        <f>+K16/L16</f>
        <v>201.18634297749696</v>
      </c>
      <c r="P16">
        <v>68665.22</v>
      </c>
    </row>
    <row r="17" spans="1:16">
      <c r="A17" s="38" t="s">
        <v>57</v>
      </c>
      <c r="B17" s="38" t="s">
        <v>13</v>
      </c>
      <c r="C17" s="31">
        <f t="shared" ref="C17:C25" si="3">+E17/D17</f>
        <v>0</v>
      </c>
      <c r="D17" s="32">
        <v>90.21</v>
      </c>
      <c r="E17" s="43">
        <v>0</v>
      </c>
      <c r="F17" s="38"/>
      <c r="H17" s="30"/>
      <c r="K17" s="41">
        <v>9284.32</v>
      </c>
      <c r="L17" s="32">
        <f>+C4</f>
        <v>104.71</v>
      </c>
      <c r="M17" s="32">
        <f>+K17/L17</f>
        <v>88.666985006207625</v>
      </c>
      <c r="P17">
        <v>62847.72</v>
      </c>
    </row>
    <row r="18" spans="1:16">
      <c r="A18" s="38" t="s">
        <v>56</v>
      </c>
      <c r="B18" s="38" t="s">
        <v>13</v>
      </c>
      <c r="C18" s="31">
        <f t="shared" si="3"/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48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60630.93</v>
      </c>
      <c r="L19" s="32">
        <f>+L16</f>
        <v>90.21</v>
      </c>
      <c r="M19" s="41">
        <f>+K19/L19</f>
        <v>672.10874625872964</v>
      </c>
      <c r="P19">
        <v>163569</v>
      </c>
    </row>
    <row r="20" spans="1:16">
      <c r="A20" s="38" t="s">
        <v>58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661.21277814917391</v>
      </c>
      <c r="L20" s="32">
        <f>+C4</f>
        <v>104.71</v>
      </c>
      <c r="M20" s="44">
        <v>69235.59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si="3"/>
        <v>0</v>
      </c>
      <c r="D21" s="32">
        <f t="shared" ref="D21:D25" si="4">+VLOOKUP(B21,A$4:C$6,3,0)</f>
        <v>90.21</v>
      </c>
      <c r="E21" s="43">
        <v>0</v>
      </c>
      <c r="F21" s="40"/>
      <c r="H21" s="45"/>
      <c r="K21" s="30">
        <f>+N8-K15</f>
        <v>60630.929999999993</v>
      </c>
      <c r="L21" s="32">
        <f>+L16</f>
        <v>90.21</v>
      </c>
      <c r="M21" s="41">
        <f>+K21/L21</f>
        <v>672.10874625872964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si="4"/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4"/>
        <v>104.71</v>
      </c>
      <c r="E24" s="31"/>
      <c r="F24" s="32"/>
      <c r="H24" s="30">
        <f>+H13+H14+H15</f>
        <v>193837</v>
      </c>
      <c r="I24" s="30">
        <f t="shared" ref="I24:J24" si="5">+I13+I14+I15</f>
        <v>137320</v>
      </c>
      <c r="J24" s="30">
        <f t="shared" si="5"/>
        <v>1128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141.59982263607139</v>
      </c>
      <c r="D26" s="31"/>
      <c r="E26" s="31">
        <f>SUM(E15:E25)</f>
        <v>12773.72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141.59982263607139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9D75-5A34-4FA3-87E0-0309B7432AF1}">
  <dimension ref="A1:X50"/>
  <sheetViews>
    <sheetView workbookViewId="0">
      <selection activeCell="S18" sqref="S1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660.86974836492641</v>
      </c>
    </row>
    <row r="4" spans="1:24" s="4" customFormat="1">
      <c r="A4" s="5" t="s">
        <v>14</v>
      </c>
      <c r="B4" s="14">
        <f>H16</f>
        <v>1588.2055200076402</v>
      </c>
      <c r="C4" s="6">
        <v>104.71</v>
      </c>
      <c r="D4" s="7">
        <f>B4*C4</f>
        <v>166301</v>
      </c>
      <c r="E4" s="8">
        <v>0</v>
      </c>
      <c r="F4" s="9">
        <f>+E4*C4</f>
        <v>0</v>
      </c>
      <c r="G4" s="8">
        <f>+K20</f>
        <v>574.34944131410566</v>
      </c>
      <c r="H4" s="9">
        <f>+G4*C4</f>
        <v>60140.13</v>
      </c>
      <c r="I4" s="8">
        <f>J4/C4</f>
        <v>0</v>
      </c>
      <c r="J4" s="9">
        <v>0</v>
      </c>
      <c r="K4" s="10">
        <f>+M17</f>
        <v>99.274854359660011</v>
      </c>
      <c r="L4" s="9">
        <f>+K4*C4</f>
        <v>10395.07</v>
      </c>
      <c r="M4" s="11">
        <f>+M15</f>
        <v>0</v>
      </c>
      <c r="N4" s="9">
        <f t="shared" ref="N4:N6" si="0">+M4*C4</f>
        <v>0</v>
      </c>
      <c r="O4" s="11"/>
      <c r="P4" s="9">
        <f>+O4*C4</f>
        <v>0</v>
      </c>
      <c r="Q4" s="8">
        <v>914.5812243338745</v>
      </c>
      <c r="R4" s="9">
        <f>+Q4*C4</f>
        <v>95765.799999999988</v>
      </c>
      <c r="S4" s="12">
        <f>+X4</f>
        <v>0</v>
      </c>
      <c r="T4" s="9">
        <f>+S4*C4</f>
        <v>0</v>
      </c>
      <c r="U4" s="13">
        <f>+B4-E4-G4-Q4-S4-K4-I4-M4-O4</f>
        <v>1.4210854715202004E-14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1787.4958430329234</v>
      </c>
      <c r="C5" s="6">
        <v>90.21</v>
      </c>
      <c r="D5" s="7">
        <f>B5*C5</f>
        <v>161250</v>
      </c>
      <c r="E5" s="8">
        <v>0</v>
      </c>
      <c r="F5" s="9">
        <f>+E5*C5</f>
        <v>0</v>
      </c>
      <c r="G5" s="8">
        <f>+M16</f>
        <v>27.70668440305953</v>
      </c>
      <c r="H5" s="9">
        <f>+G5*C5</f>
        <v>2499.42</v>
      </c>
      <c r="I5" s="8">
        <f>+J8/C5</f>
        <v>1.5519343753464141</v>
      </c>
      <c r="J5" s="9">
        <f>+I5*C5</f>
        <v>140</v>
      </c>
      <c r="K5" s="8">
        <v>0</v>
      </c>
      <c r="L5" s="9">
        <f>+K5*C5</f>
        <v>0</v>
      </c>
      <c r="M5" s="11">
        <f>+M19</f>
        <v>584.75268817204301</v>
      </c>
      <c r="N5" s="9">
        <f t="shared" si="0"/>
        <v>52750.539999999994</v>
      </c>
      <c r="O5" s="11">
        <f>+P8/C5</f>
        <v>0</v>
      </c>
      <c r="P5" s="9">
        <f>+O5*C5</f>
        <v>0</v>
      </c>
      <c r="Q5" s="8">
        <v>512.61478771754787</v>
      </c>
      <c r="R5" s="9">
        <f>+Q5*C5</f>
        <v>46242.979999999989</v>
      </c>
      <c r="S5" s="12">
        <f>+X3</f>
        <v>660.86974836492641</v>
      </c>
      <c r="T5" s="9">
        <f>+S5*C5</f>
        <v>59617.060000000005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47.872340425531917</v>
      </c>
      <c r="C6" s="6">
        <v>112.8</v>
      </c>
      <c r="D6" s="7">
        <f>B6*C6</f>
        <v>5400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47.872340425531917</v>
      </c>
      <c r="R6" s="9">
        <f>+Q6*C6</f>
        <v>5400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3423.5737034660956</v>
      </c>
      <c r="C7" s="5"/>
      <c r="D7" s="15">
        <f>SUM(D4:D6)</f>
        <v>332951</v>
      </c>
      <c r="E7" s="16">
        <f>SUM(E4:E6)</f>
        <v>0</v>
      </c>
      <c r="F7" s="17">
        <f>SUM(F4:F6)</f>
        <v>0</v>
      </c>
      <c r="G7" s="16">
        <f t="shared" ref="G7:T7" si="1">SUM(G4:G6)</f>
        <v>602.05612571716517</v>
      </c>
      <c r="H7" s="17">
        <f>SUM(H4:H6)</f>
        <v>62639.549999999996</v>
      </c>
      <c r="I7" s="16">
        <f>SUM(I4:I6)</f>
        <v>1.5519343753464141</v>
      </c>
      <c r="J7" s="17">
        <f t="shared" si="1"/>
        <v>140</v>
      </c>
      <c r="K7" s="16">
        <f t="shared" si="1"/>
        <v>99.274854359660011</v>
      </c>
      <c r="L7" s="17">
        <f t="shared" si="1"/>
        <v>10395.07</v>
      </c>
      <c r="M7" s="16">
        <f t="shared" si="1"/>
        <v>584.75268817204301</v>
      </c>
      <c r="N7" s="17">
        <f t="shared" si="1"/>
        <v>52750.539999999994</v>
      </c>
      <c r="O7" s="16">
        <f t="shared" si="1"/>
        <v>0</v>
      </c>
      <c r="P7" s="17">
        <f t="shared" si="1"/>
        <v>0</v>
      </c>
      <c r="Q7" s="16">
        <v>1475.0683524769545</v>
      </c>
      <c r="R7" s="17">
        <f>SUM(R4:R6)</f>
        <v>147408.77999999997</v>
      </c>
      <c r="S7" s="16">
        <f t="shared" si="1"/>
        <v>660.86974836492641</v>
      </c>
      <c r="T7" s="17">
        <f t="shared" si="1"/>
        <v>59617.060000000005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62639.55</v>
      </c>
      <c r="I8" s="20"/>
      <c r="J8" s="21">
        <v>140</v>
      </c>
      <c r="K8" s="20"/>
      <c r="L8" s="21">
        <v>10395.07</v>
      </c>
      <c r="M8" s="22"/>
      <c r="N8" s="21">
        <v>52750.54</v>
      </c>
      <c r="O8" s="22" t="s">
        <v>19</v>
      </c>
      <c r="P8" s="21">
        <v>0</v>
      </c>
      <c r="Q8" s="20">
        <v>0</v>
      </c>
      <c r="R8" s="21">
        <v>146408</v>
      </c>
      <c r="S8" s="20"/>
      <c r="T8" s="21">
        <v>60617.06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1000.7799999999697</v>
      </c>
      <c r="S9" s="23"/>
      <c r="T9" s="24">
        <f>+T7-T8</f>
        <v>-999.99999999999272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0.7800000000061118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80096</v>
      </c>
      <c r="I13" s="41">
        <v>28149</v>
      </c>
      <c r="J13" s="32">
        <v>5400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86205</v>
      </c>
      <c r="I14" s="41">
        <v>22629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19" si="2">+E15/D15</f>
        <v>194.93991796918303</v>
      </c>
      <c r="D15" s="32">
        <v>90.21</v>
      </c>
      <c r="E15" s="43">
        <v>17585.53</v>
      </c>
      <c r="F15" s="38">
        <v>22521</v>
      </c>
      <c r="H15" s="41">
        <v>0</v>
      </c>
      <c r="I15" s="41">
        <v>110472</v>
      </c>
      <c r="J15" s="41"/>
      <c r="K15" s="42">
        <v>0</v>
      </c>
      <c r="L15" s="32">
        <f>+C4</f>
        <v>104.71</v>
      </c>
      <c r="M15" s="32">
        <f>+K15/L15</f>
        <v>0</v>
      </c>
      <c r="P15">
        <v>38634.78</v>
      </c>
      <c r="V15">
        <f>2123+9236+3417.23+18069.1</f>
        <v>32845.33</v>
      </c>
    </row>
    <row r="16" spans="1:24">
      <c r="A16" s="38" t="s">
        <v>49</v>
      </c>
      <c r="B16" s="38" t="s">
        <v>13</v>
      </c>
      <c r="C16" s="31">
        <f t="shared" si="2"/>
        <v>141.50992129475671</v>
      </c>
      <c r="D16" s="32">
        <v>90.21</v>
      </c>
      <c r="E16" s="43">
        <v>12765.61</v>
      </c>
      <c r="F16" s="38">
        <v>22523</v>
      </c>
      <c r="H16" s="32">
        <f>+H24/C4</f>
        <v>1588.2055200076402</v>
      </c>
      <c r="I16" s="48">
        <f>+I24/C5</f>
        <v>1787.4958430329234</v>
      </c>
      <c r="J16" s="48">
        <f>+J24/C6</f>
        <v>47.872340425531917</v>
      </c>
      <c r="K16" s="42">
        <v>2499.42</v>
      </c>
      <c r="L16" s="32">
        <f>+C5</f>
        <v>90.21</v>
      </c>
      <c r="M16" s="41">
        <f>+K16/L16</f>
        <v>27.70668440305953</v>
      </c>
      <c r="P16">
        <v>68665.22</v>
      </c>
    </row>
    <row r="17" spans="1:16">
      <c r="A17" s="38" t="s">
        <v>42</v>
      </c>
      <c r="B17" s="38" t="s">
        <v>13</v>
      </c>
      <c r="C17" s="31">
        <f t="shared" si="2"/>
        <v>218.98991242656029</v>
      </c>
      <c r="D17" s="32">
        <v>90.21</v>
      </c>
      <c r="E17" s="43">
        <v>19755.080000000002</v>
      </c>
      <c r="F17" s="38">
        <v>22525</v>
      </c>
      <c r="H17" s="30"/>
      <c r="K17" s="41">
        <v>10395.07</v>
      </c>
      <c r="L17" s="32">
        <f>+C4</f>
        <v>104.71</v>
      </c>
      <c r="M17" s="32">
        <f>+K17/L17</f>
        <v>99.274854359660011</v>
      </c>
      <c r="P17">
        <v>62847.72</v>
      </c>
    </row>
    <row r="18" spans="1:16">
      <c r="A18" s="38" t="s">
        <v>59</v>
      </c>
      <c r="B18" s="38" t="s">
        <v>13</v>
      </c>
      <c r="C18" s="31">
        <f t="shared" si="2"/>
        <v>50</v>
      </c>
      <c r="D18" s="32">
        <v>90.21</v>
      </c>
      <c r="E18" s="43">
        <v>4510.5</v>
      </c>
      <c r="F18" s="38">
        <v>22525</v>
      </c>
      <c r="P18">
        <v>199</v>
      </c>
    </row>
    <row r="19" spans="1:16">
      <c r="A19" s="38" t="s">
        <v>47</v>
      </c>
      <c r="B19" s="38" t="s">
        <v>13</v>
      </c>
      <c r="C19" s="31">
        <f t="shared" si="2"/>
        <v>55.429996674426341</v>
      </c>
      <c r="D19" s="32">
        <v>90.21</v>
      </c>
      <c r="E19" s="43">
        <v>5000.34</v>
      </c>
      <c r="F19" s="38">
        <v>22527</v>
      </c>
      <c r="H19">
        <f>179130.55+24221.9</f>
        <v>203352.44999999998</v>
      </c>
      <c r="K19" s="47">
        <v>52750.54</v>
      </c>
      <c r="L19" s="32">
        <f>+L16</f>
        <v>90.21</v>
      </c>
      <c r="M19" s="41">
        <f>+K19/L19</f>
        <v>584.75268817204301</v>
      </c>
      <c r="P19">
        <v>163569</v>
      </c>
    </row>
    <row r="20" spans="1:16">
      <c r="A20" s="38" t="s">
        <v>58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574.34944131410566</v>
      </c>
      <c r="L20" s="32">
        <f>+C4</f>
        <v>104.71</v>
      </c>
      <c r="M20" s="44">
        <v>60140.13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si="3"/>
        <v>0</v>
      </c>
      <c r="D21" s="32">
        <f t="shared" ref="D21:D25" si="4">+VLOOKUP(B21,A$4:C$6,3,0)</f>
        <v>90.21</v>
      </c>
      <c r="E21" s="43">
        <v>0</v>
      </c>
      <c r="F21" s="40"/>
      <c r="H21" s="45"/>
      <c r="K21" s="30">
        <f>+N8-K15</f>
        <v>52750.54</v>
      </c>
      <c r="L21" s="32">
        <f>+L16</f>
        <v>90.21</v>
      </c>
      <c r="M21" s="41">
        <f>+K21/L21</f>
        <v>584.75268817204301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si="4"/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4"/>
        <v>104.71</v>
      </c>
      <c r="E24" s="31"/>
      <c r="F24" s="32"/>
      <c r="H24" s="30">
        <f>+H13+H14+H15</f>
        <v>166301</v>
      </c>
      <c r="I24" s="30">
        <f t="shared" ref="I24:J24" si="5">+I13+I14+I15</f>
        <v>161250</v>
      </c>
      <c r="J24" s="30">
        <f t="shared" si="5"/>
        <v>5400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660.86974836492641</v>
      </c>
      <c r="D26" s="31"/>
      <c r="E26" s="31">
        <f>SUM(E15:E25)</f>
        <v>59617.06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336.44983926393974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0892-4D8E-4CB9-A8DC-BE2A4E5E1BB6}">
  <dimension ref="A1:X50"/>
  <sheetViews>
    <sheetView workbookViewId="0">
      <selection activeCell="J13" sqref="J13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400.78993459705134</v>
      </c>
    </row>
    <row r="4" spans="1:24" s="4" customFormat="1">
      <c r="A4" s="5" t="s">
        <v>14</v>
      </c>
      <c r="B4" s="14">
        <f>H16</f>
        <v>1496.3231783019769</v>
      </c>
      <c r="C4" s="6">
        <v>104.71</v>
      </c>
      <c r="D4" s="7">
        <f>B4*C4</f>
        <v>156680</v>
      </c>
      <c r="E4" s="8">
        <v>0</v>
      </c>
      <c r="F4" s="9">
        <f>+E4*C4</f>
        <v>0</v>
      </c>
      <c r="G4" s="8">
        <f>+K20</f>
        <v>540.69945563938495</v>
      </c>
      <c r="H4" s="9">
        <f>+G4*C4</f>
        <v>56616.639999999992</v>
      </c>
      <c r="I4" s="8">
        <f>J4/C4</f>
        <v>0</v>
      </c>
      <c r="J4" s="9">
        <v>0</v>
      </c>
      <c r="K4" s="10">
        <f>+M17</f>
        <v>227.41648362143061</v>
      </c>
      <c r="L4" s="9">
        <f>+K4*C4</f>
        <v>23812.78</v>
      </c>
      <c r="M4" s="11">
        <f>+M15</f>
        <v>129.59602712252891</v>
      </c>
      <c r="N4" s="9">
        <f t="shared" ref="N4:N6" si="0">+M4*C4</f>
        <v>13570.000000000002</v>
      </c>
      <c r="O4" s="11"/>
      <c r="P4" s="9">
        <f>+O4*C4</f>
        <v>0</v>
      </c>
      <c r="Q4" s="8">
        <v>598.61121191863242</v>
      </c>
      <c r="R4" s="9">
        <f>+Q4*C4</f>
        <v>62680.579999999994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1758.9624210176257</v>
      </c>
      <c r="C5" s="6">
        <v>90.21</v>
      </c>
      <c r="D5" s="7">
        <f>B5*C5</f>
        <v>158676</v>
      </c>
      <c r="E5" s="8">
        <v>0</v>
      </c>
      <c r="F5" s="9">
        <f>+E5*C5</f>
        <v>0</v>
      </c>
      <c r="G5" s="8">
        <f>+M16</f>
        <v>22.004212393304513</v>
      </c>
      <c r="H5" s="9">
        <f>+G5*C5</f>
        <v>1985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911.5745482762444</v>
      </c>
      <c r="N5" s="9">
        <f t="shared" si="0"/>
        <v>82233.14</v>
      </c>
      <c r="O5" s="11">
        <f>+P8/C5</f>
        <v>0</v>
      </c>
      <c r="P5" s="9">
        <f>+O5*C5</f>
        <v>0</v>
      </c>
      <c r="Q5" s="8">
        <v>424.59372575102554</v>
      </c>
      <c r="R5" s="9">
        <f>+Q5*C5</f>
        <v>38302.600000000013</v>
      </c>
      <c r="S5" s="12">
        <f>+X3</f>
        <v>400.78993459705134</v>
      </c>
      <c r="T5" s="9">
        <f>+S5*C5</f>
        <v>36155.26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21.462765957446809</v>
      </c>
      <c r="C6" s="6">
        <v>112.8</v>
      </c>
      <c r="D6" s="7">
        <f>B6*C6</f>
        <v>2421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21.462765957446809</v>
      </c>
      <c r="R6" s="9">
        <f>+Q6*C6</f>
        <v>2421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3276.7483652770493</v>
      </c>
      <c r="C7" s="5"/>
      <c r="D7" s="15">
        <f>SUM(D4:D6)</f>
        <v>317777</v>
      </c>
      <c r="E7" s="16">
        <f>SUM(E4:E6)</f>
        <v>0</v>
      </c>
      <c r="F7" s="17">
        <f>SUM(F4:F6)</f>
        <v>0</v>
      </c>
      <c r="G7" s="16">
        <f t="shared" ref="G7:T7" si="1">SUM(G4:G6)</f>
        <v>562.70366803268951</v>
      </c>
      <c r="H7" s="17">
        <f>SUM(H4:H6)</f>
        <v>58601.639999999992</v>
      </c>
      <c r="I7" s="16">
        <f>SUM(I4:I6)</f>
        <v>0</v>
      </c>
      <c r="J7" s="17">
        <f t="shared" si="1"/>
        <v>0</v>
      </c>
      <c r="K7" s="16">
        <f t="shared" si="1"/>
        <v>227.41648362143061</v>
      </c>
      <c r="L7" s="17">
        <f t="shared" si="1"/>
        <v>23812.78</v>
      </c>
      <c r="M7" s="16">
        <f t="shared" si="1"/>
        <v>1041.1705753987733</v>
      </c>
      <c r="N7" s="17">
        <f t="shared" si="1"/>
        <v>95803.14</v>
      </c>
      <c r="O7" s="16">
        <f t="shared" si="1"/>
        <v>0</v>
      </c>
      <c r="P7" s="17">
        <f t="shared" si="1"/>
        <v>0</v>
      </c>
      <c r="Q7" s="16">
        <v>1044.6677036271046</v>
      </c>
      <c r="R7" s="17">
        <f>SUM(R4:R6)</f>
        <v>103404.18000000001</v>
      </c>
      <c r="S7" s="16">
        <f t="shared" si="1"/>
        <v>400.78993459705134</v>
      </c>
      <c r="T7" s="17">
        <f t="shared" si="1"/>
        <v>36155.26</v>
      </c>
      <c r="U7" s="13">
        <f>+B7-E7-G7-Q7-S7-K7-I7-M7-O7</f>
        <v>-2.2737367544323206E-13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58601.64</v>
      </c>
      <c r="I8" s="20"/>
      <c r="J8" s="21">
        <v>0</v>
      </c>
      <c r="K8" s="20"/>
      <c r="L8" s="21">
        <v>23812.78</v>
      </c>
      <c r="M8" s="22"/>
      <c r="N8" s="21">
        <v>95803.14</v>
      </c>
      <c r="O8" s="22" t="s">
        <v>19</v>
      </c>
      <c r="P8" s="21">
        <v>0</v>
      </c>
      <c r="Q8" s="20">
        <v>0</v>
      </c>
      <c r="R8" s="21">
        <v>96984</v>
      </c>
      <c r="S8" s="20"/>
      <c r="T8" s="21">
        <v>42575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6420.1800000000076</v>
      </c>
      <c r="S9" s="23"/>
      <c r="T9" s="24">
        <f>+T7-T8</f>
        <v>-6419.739999999998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0.43999999998777639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71737</v>
      </c>
      <c r="I13" s="41">
        <v>91235</v>
      </c>
      <c r="J13" s="32">
        <v>2421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84943</v>
      </c>
      <c r="I14" s="41">
        <v>45740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60</v>
      </c>
      <c r="B15" s="38" t="s">
        <v>13</v>
      </c>
      <c r="C15" s="31">
        <f t="shared" ref="C15:C18" si="2">+E15/D15</f>
        <v>158.5299855891808</v>
      </c>
      <c r="D15" s="32">
        <v>90.21</v>
      </c>
      <c r="E15" s="43">
        <v>14300.99</v>
      </c>
      <c r="F15" s="38">
        <v>22529</v>
      </c>
      <c r="H15" s="41">
        <v>0</v>
      </c>
      <c r="I15" s="41">
        <v>21701</v>
      </c>
      <c r="J15" s="41"/>
      <c r="K15" s="42">
        <v>13570</v>
      </c>
      <c r="L15" s="32">
        <f>+C4</f>
        <v>104.71</v>
      </c>
      <c r="M15" s="32">
        <f>+K15/L15</f>
        <v>129.59602712252891</v>
      </c>
      <c r="P15">
        <v>38634.78</v>
      </c>
      <c r="V15">
        <f>2123+9236+3417.23+18069.1</f>
        <v>32845.33</v>
      </c>
    </row>
    <row r="16" spans="1:24">
      <c r="A16" s="38" t="s">
        <v>55</v>
      </c>
      <c r="B16" s="38" t="s">
        <v>13</v>
      </c>
      <c r="C16" s="31">
        <f t="shared" si="2"/>
        <v>118.09998891475446</v>
      </c>
      <c r="D16" s="32">
        <v>90.21</v>
      </c>
      <c r="E16" s="43">
        <v>10653.8</v>
      </c>
      <c r="F16" s="38">
        <v>22530</v>
      </c>
      <c r="H16" s="32">
        <f>+H24/C4</f>
        <v>1496.3231783019769</v>
      </c>
      <c r="I16" s="48">
        <f>+I24/C5</f>
        <v>1758.9624210176257</v>
      </c>
      <c r="J16" s="48">
        <f>+J24/C6</f>
        <v>21.462765957446809</v>
      </c>
      <c r="K16" s="42">
        <v>1985</v>
      </c>
      <c r="L16" s="32">
        <f>+C5</f>
        <v>90.21</v>
      </c>
      <c r="M16" s="41">
        <f>+K16/L16</f>
        <v>22.004212393304513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68.729963418689735</v>
      </c>
      <c r="D17" s="32">
        <v>90.21</v>
      </c>
      <c r="E17" s="43">
        <v>6200.13</v>
      </c>
      <c r="F17" s="38">
        <v>22531</v>
      </c>
      <c r="H17" s="30"/>
      <c r="K17" s="41">
        <v>23812.78</v>
      </c>
      <c r="L17" s="32">
        <f>+C4</f>
        <v>104.71</v>
      </c>
      <c r="M17" s="32">
        <f>+K17/L17</f>
        <v>227.41648362143061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2"/>
        <v>55.429996674426341</v>
      </c>
      <c r="D18" s="32">
        <v>90.21</v>
      </c>
      <c r="E18" s="43">
        <v>5000.34</v>
      </c>
      <c r="F18" s="38">
        <v>22532</v>
      </c>
      <c r="P18">
        <v>199</v>
      </c>
    </row>
    <row r="19" spans="1:16">
      <c r="A19" s="38" t="s">
        <v>47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82233.14</v>
      </c>
      <c r="L19" s="32">
        <f>+L16</f>
        <v>90.21</v>
      </c>
      <c r="M19" s="41">
        <f>+K19/L19</f>
        <v>911.5745482762444</v>
      </c>
      <c r="P19">
        <v>163569</v>
      </c>
    </row>
    <row r="20" spans="1:16">
      <c r="A20" s="38" t="s">
        <v>58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540.69945563938495</v>
      </c>
      <c r="L20" s="32">
        <f>+C4</f>
        <v>104.71</v>
      </c>
      <c r="M20" s="44">
        <v>56616.639999999999</v>
      </c>
      <c r="P20">
        <f>SUM(P13:P19)</f>
        <v>381908.52</v>
      </c>
    </row>
    <row r="21" spans="1:16">
      <c r="A21" s="37" t="s">
        <v>41</v>
      </c>
      <c r="B21" s="38" t="s">
        <v>13</v>
      </c>
      <c r="C21" s="31">
        <f t="shared" si="3"/>
        <v>0</v>
      </c>
      <c r="D21" s="32">
        <f t="shared" ref="D21:D25" si="4">+VLOOKUP(B21,A$4:C$6,3,0)</f>
        <v>90.21</v>
      </c>
      <c r="E21" s="43">
        <v>0</v>
      </c>
      <c r="F21" s="40"/>
      <c r="H21" s="45"/>
      <c r="K21" s="30">
        <f>+N8-K15</f>
        <v>82233.14</v>
      </c>
      <c r="L21" s="32">
        <f>+L16</f>
        <v>90.21</v>
      </c>
      <c r="M21" s="41">
        <f>+K21/L21</f>
        <v>911.5745482762444</v>
      </c>
    </row>
    <row r="22" spans="1:16">
      <c r="A22" s="37" t="s">
        <v>30</v>
      </c>
      <c r="B22" s="38" t="s">
        <v>13</v>
      </c>
      <c r="C22" s="31">
        <f t="shared" si="3"/>
        <v>0</v>
      </c>
      <c r="D22" s="32">
        <f t="shared" si="4"/>
        <v>90.21</v>
      </c>
      <c r="E22" s="43"/>
      <c r="F22" s="32"/>
    </row>
    <row r="23" spans="1:16">
      <c r="A23" s="38"/>
      <c r="B23" s="38" t="s">
        <v>13</v>
      </c>
      <c r="C23" s="31">
        <f t="shared" si="3"/>
        <v>0</v>
      </c>
      <c r="D23" s="32">
        <f t="shared" si="4"/>
        <v>90.21</v>
      </c>
      <c r="E23" s="43"/>
      <c r="F23" s="32"/>
    </row>
    <row r="24" spans="1:16">
      <c r="A24" s="38"/>
      <c r="B24" s="38" t="s">
        <v>15</v>
      </c>
      <c r="C24" s="31">
        <f t="shared" si="3"/>
        <v>0</v>
      </c>
      <c r="D24" s="32">
        <f t="shared" si="4"/>
        <v>104.71</v>
      </c>
      <c r="E24" s="31"/>
      <c r="F24" s="32"/>
      <c r="H24" s="30">
        <f>+H13+H14+H15</f>
        <v>156680</v>
      </c>
      <c r="I24" s="30">
        <f t="shared" ref="I24:J24" si="5">+I13+I14+I15</f>
        <v>158676</v>
      </c>
      <c r="J24" s="30">
        <f t="shared" si="5"/>
        <v>2421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400.78993459705134</v>
      </c>
      <c r="D26" s="31"/>
      <c r="E26" s="31">
        <f>SUM(E15:E25)</f>
        <v>36155.26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276.62997450393527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4E02-B2E9-4A9D-B543-472AD6D344E5}">
  <dimension ref="A1:X50"/>
  <sheetViews>
    <sheetView workbookViewId="0">
      <selection activeCell="T15" sqref="T15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874.73927502494189</v>
      </c>
    </row>
    <row r="4" spans="1:24" s="4" customFormat="1">
      <c r="A4" s="5" t="s">
        <v>14</v>
      </c>
      <c r="B4" s="14">
        <f>H16</f>
        <v>1544.7712730398243</v>
      </c>
      <c r="C4" s="6">
        <v>104.71</v>
      </c>
      <c r="D4" s="7">
        <f>B4*C4</f>
        <v>161753</v>
      </c>
      <c r="E4" s="8">
        <v>0</v>
      </c>
      <c r="F4" s="9">
        <f>+E4*C4</f>
        <v>0</v>
      </c>
      <c r="G4" s="8">
        <f>+K20</f>
        <v>552.66994556393854</v>
      </c>
      <c r="H4" s="9">
        <f>+G4*C4</f>
        <v>57870.07</v>
      </c>
      <c r="I4" s="8">
        <f>J4/C4</f>
        <v>0</v>
      </c>
      <c r="J4" s="9">
        <v>0</v>
      </c>
      <c r="K4" s="10">
        <f>+M17</f>
        <v>98.930379142393278</v>
      </c>
      <c r="L4" s="9">
        <f>+K4*C4</f>
        <v>10359</v>
      </c>
      <c r="M4" s="11">
        <f>+M15</f>
        <v>206.02865055868588</v>
      </c>
      <c r="N4" s="9">
        <f t="shared" ref="N4:N6" si="0">+M4*C4</f>
        <v>21573.26</v>
      </c>
      <c r="O4" s="11"/>
      <c r="P4" s="9">
        <f>+O4*C4</f>
        <v>0</v>
      </c>
      <c r="Q4" s="8">
        <v>687.14229777480671</v>
      </c>
      <c r="R4" s="9">
        <f>+Q4*C4</f>
        <v>71950.670000000013</v>
      </c>
      <c r="S4" s="12">
        <f>+X4</f>
        <v>0</v>
      </c>
      <c r="T4" s="9">
        <f>+S4*C4</f>
        <v>0</v>
      </c>
      <c r="U4" s="13">
        <f>+B4-E4-G4-Q4-S4-K4-I4-M4-O4</f>
        <v>-8.5265128291212022E-14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2270.8679747256401</v>
      </c>
      <c r="C5" s="6">
        <v>90.21</v>
      </c>
      <c r="D5" s="7">
        <f>B5*C5</f>
        <v>204854.99999999997</v>
      </c>
      <c r="E5" s="8">
        <v>0</v>
      </c>
      <c r="F5" s="9">
        <f>+E5*C5</f>
        <v>0</v>
      </c>
      <c r="G5" s="8">
        <f>+M16</f>
        <v>39.796031482097334</v>
      </c>
      <c r="H5" s="9">
        <f>+G5*C5</f>
        <v>3590.0000000000005</v>
      </c>
      <c r="I5" s="8">
        <f>+J8/C5</f>
        <v>83.139341536415031</v>
      </c>
      <c r="J5" s="9">
        <f>+I5*C5</f>
        <v>7499.9999999999991</v>
      </c>
      <c r="K5" s="8">
        <v>0</v>
      </c>
      <c r="L5" s="9">
        <f>+K5*C5</f>
        <v>0</v>
      </c>
      <c r="M5" s="11">
        <f>+M19</f>
        <v>1028.9300521006542</v>
      </c>
      <c r="N5" s="9">
        <f t="shared" si="0"/>
        <v>92819.78</v>
      </c>
      <c r="O5" s="11">
        <f>+P8/C5</f>
        <v>0</v>
      </c>
      <c r="P5" s="9">
        <f>+O5*C5</f>
        <v>0</v>
      </c>
      <c r="Q5" s="8">
        <v>244.2632745815315</v>
      </c>
      <c r="R5" s="9">
        <f>+Q5*C5</f>
        <v>22034.989999999954</v>
      </c>
      <c r="S5" s="12">
        <f>+X3</f>
        <v>874.73927502494189</v>
      </c>
      <c r="T5" s="9">
        <f>+S5*C5</f>
        <v>78910.23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79.539007092198588</v>
      </c>
      <c r="C6" s="6">
        <v>112.8</v>
      </c>
      <c r="D6" s="7">
        <f>B6*C6</f>
        <v>8972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79.539007092198588</v>
      </c>
      <c r="R6" s="9">
        <f>+Q6*C6</f>
        <v>8972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3895.178254857663</v>
      </c>
      <c r="C7" s="5"/>
      <c r="D7" s="15">
        <f>SUM(D4:D6)</f>
        <v>375580</v>
      </c>
      <c r="E7" s="16">
        <f>SUM(E4:E6)</f>
        <v>0</v>
      </c>
      <c r="F7" s="17">
        <f>SUM(F4:F6)</f>
        <v>0</v>
      </c>
      <c r="G7" s="16">
        <f t="shared" ref="G7:T7" si="1">SUM(G4:G6)</f>
        <v>592.46597704603585</v>
      </c>
      <c r="H7" s="17">
        <f>SUM(H4:H6)</f>
        <v>61460.07</v>
      </c>
      <c r="I7" s="16">
        <f>SUM(I4:I6)</f>
        <v>83.139341536415031</v>
      </c>
      <c r="J7" s="17">
        <f t="shared" si="1"/>
        <v>7499.9999999999991</v>
      </c>
      <c r="K7" s="16">
        <f t="shared" si="1"/>
        <v>98.930379142393278</v>
      </c>
      <c r="L7" s="17">
        <f t="shared" si="1"/>
        <v>10359</v>
      </c>
      <c r="M7" s="16">
        <f t="shared" si="1"/>
        <v>1234.9587026593401</v>
      </c>
      <c r="N7" s="17">
        <f t="shared" si="1"/>
        <v>114393.04</v>
      </c>
      <c r="O7" s="16">
        <f t="shared" si="1"/>
        <v>0</v>
      </c>
      <c r="P7" s="17">
        <f t="shared" si="1"/>
        <v>0</v>
      </c>
      <c r="Q7" s="16">
        <v>1010.9445794485371</v>
      </c>
      <c r="R7" s="17">
        <f>SUM(R4:R6)</f>
        <v>102957.65999999997</v>
      </c>
      <c r="S7" s="16">
        <f t="shared" si="1"/>
        <v>874.73927502494189</v>
      </c>
      <c r="T7" s="17">
        <f t="shared" si="1"/>
        <v>78910.23</v>
      </c>
      <c r="U7" s="13">
        <f>+B7-E7-G7-Q7-S7-K7-I7-M7-O7</f>
        <v>-4.5474735088646412E-13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61460.07</v>
      </c>
      <c r="I8" s="20"/>
      <c r="J8" s="21">
        <v>7500</v>
      </c>
      <c r="K8" s="20"/>
      <c r="L8" s="21">
        <v>10359</v>
      </c>
      <c r="M8" s="22"/>
      <c r="N8" s="21">
        <v>114393.04</v>
      </c>
      <c r="O8" s="22" t="s">
        <v>19</v>
      </c>
      <c r="P8" s="21">
        <v>0</v>
      </c>
      <c r="Q8" s="20">
        <v>0</v>
      </c>
      <c r="R8" s="21">
        <v>94237</v>
      </c>
      <c r="S8" s="20"/>
      <c r="T8" s="21">
        <v>87630.23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8720.6599999999744</v>
      </c>
      <c r="S9" s="23"/>
      <c r="T9" s="24">
        <f>+T7-T8</f>
        <v>-8720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0.66000000000349246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86445</v>
      </c>
      <c r="I13" s="41">
        <v>93128</v>
      </c>
      <c r="J13" s="32">
        <v>8972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75308</v>
      </c>
      <c r="I14" s="41">
        <v>34074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42</v>
      </c>
      <c r="B15" s="38" t="s">
        <v>13</v>
      </c>
      <c r="C15" s="31">
        <f t="shared" ref="C15:C23" si="2">+E15/D15</f>
        <v>221.70491076377343</v>
      </c>
      <c r="D15" s="32">
        <v>90.21</v>
      </c>
      <c r="E15" s="43">
        <v>20000</v>
      </c>
      <c r="F15" s="38">
        <v>22535</v>
      </c>
      <c r="H15" s="41">
        <v>0</v>
      </c>
      <c r="I15" s="41">
        <v>77653</v>
      </c>
      <c r="J15" s="41"/>
      <c r="K15" s="42">
        <v>21573.26</v>
      </c>
      <c r="L15" s="32">
        <f>+C4</f>
        <v>104.71</v>
      </c>
      <c r="M15" s="32">
        <f>+K15/L15</f>
        <v>206.02865055868588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226.86997006983705</v>
      </c>
      <c r="D16" s="32">
        <v>90.21</v>
      </c>
      <c r="E16" s="43">
        <v>20465.939999999999</v>
      </c>
      <c r="F16" s="38">
        <v>22536</v>
      </c>
      <c r="H16" s="32">
        <f>+H24/C4</f>
        <v>1544.7712730398243</v>
      </c>
      <c r="I16" s="48">
        <f>+I24/C5</f>
        <v>2270.8679747256401</v>
      </c>
      <c r="J16" s="48">
        <f>+J24/C6</f>
        <v>79.539007092198588</v>
      </c>
      <c r="K16" s="42">
        <v>3590</v>
      </c>
      <c r="L16" s="32">
        <f>+C5</f>
        <v>90.21</v>
      </c>
      <c r="M16" s="41">
        <f>+K16/L16</f>
        <v>39.796031482097334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141.98991242656027</v>
      </c>
      <c r="D17" s="32">
        <v>90.21</v>
      </c>
      <c r="E17" s="43">
        <v>12808.91</v>
      </c>
      <c r="F17" s="38">
        <v>22537</v>
      </c>
      <c r="H17" s="30"/>
      <c r="K17" s="41">
        <v>10359</v>
      </c>
      <c r="L17" s="32">
        <f>+C4</f>
        <v>104.71</v>
      </c>
      <c r="M17" s="32">
        <f>+K17/L17</f>
        <v>98.930379142393278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2"/>
        <v>35.472785722203753</v>
      </c>
      <c r="D18" s="32">
        <v>90.21</v>
      </c>
      <c r="E18" s="43">
        <v>3200</v>
      </c>
      <c r="F18" s="38">
        <v>22538</v>
      </c>
      <c r="P18">
        <v>199</v>
      </c>
    </row>
    <row r="19" spans="1:16">
      <c r="A19" s="38" t="s">
        <v>58</v>
      </c>
      <c r="B19" s="38" t="s">
        <v>13</v>
      </c>
      <c r="C19" s="31">
        <f t="shared" si="2"/>
        <v>36.469903558363818</v>
      </c>
      <c r="D19" s="32">
        <v>90.21</v>
      </c>
      <c r="E19" s="43">
        <v>3289.95</v>
      </c>
      <c r="F19" s="38">
        <v>22539</v>
      </c>
      <c r="H19">
        <f>179130.55+24221.9</f>
        <v>203352.44999999998</v>
      </c>
      <c r="K19" s="47">
        <v>92819.78</v>
      </c>
      <c r="L19" s="32">
        <f>+L16</f>
        <v>90.21</v>
      </c>
      <c r="M19" s="41">
        <f>+K19/L19</f>
        <v>1028.9300521006542</v>
      </c>
      <c r="P19">
        <v>163569</v>
      </c>
    </row>
    <row r="20" spans="1:16">
      <c r="A20" s="38" t="s">
        <v>42</v>
      </c>
      <c r="B20" s="38" t="s">
        <v>13</v>
      </c>
      <c r="C20" s="31">
        <f t="shared" si="2"/>
        <v>86.009976720984369</v>
      </c>
      <c r="D20" s="32">
        <v>90.21</v>
      </c>
      <c r="E20" s="43">
        <v>7758.96</v>
      </c>
      <c r="F20" s="38">
        <v>22541</v>
      </c>
      <c r="K20" s="41">
        <f>+M20/L20</f>
        <v>552.66994556393854</v>
      </c>
      <c r="L20" s="32">
        <f>+C4</f>
        <v>104.71</v>
      </c>
      <c r="M20" s="44">
        <v>57870.07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2"/>
        <v>32.379891364593725</v>
      </c>
      <c r="D21" s="32">
        <v>90.21</v>
      </c>
      <c r="E21" s="43">
        <v>2920.99</v>
      </c>
      <c r="F21" s="38">
        <v>22542</v>
      </c>
      <c r="H21" s="45"/>
      <c r="K21" s="30">
        <f>+N8-K15</f>
        <v>92819.78</v>
      </c>
      <c r="L21" s="32">
        <f>+L16</f>
        <v>90.21</v>
      </c>
      <c r="M21" s="41">
        <f>+K21/L21</f>
        <v>1028.9300521006542</v>
      </c>
    </row>
    <row r="22" spans="1:16">
      <c r="A22" s="38" t="s">
        <v>45</v>
      </c>
      <c r="B22" s="38" t="s">
        <v>13</v>
      </c>
      <c r="C22" s="31">
        <f t="shared" si="2"/>
        <v>5.1420019953441978</v>
      </c>
      <c r="D22" s="32">
        <v>90.21</v>
      </c>
      <c r="E22" s="43">
        <v>463.86</v>
      </c>
      <c r="F22" s="38">
        <v>22543</v>
      </c>
    </row>
    <row r="23" spans="1:16">
      <c r="A23" s="38" t="s">
        <v>52</v>
      </c>
      <c r="B23" s="38" t="s">
        <v>13</v>
      </c>
      <c r="C23" s="31">
        <f t="shared" si="2"/>
        <v>88.699922403281235</v>
      </c>
      <c r="D23" s="32">
        <v>90.21</v>
      </c>
      <c r="E23" s="43">
        <v>8001.62</v>
      </c>
      <c r="F23" s="38">
        <v>22544</v>
      </c>
    </row>
    <row r="24" spans="1:16">
      <c r="A24" s="38"/>
      <c r="B24" s="38" t="s">
        <v>15</v>
      </c>
      <c r="C24" s="31">
        <f t="shared" ref="C24:C25" si="3">+E24/D24</f>
        <v>0</v>
      </c>
      <c r="D24" s="32">
        <f t="shared" ref="D24:D25" si="4">+VLOOKUP(B24,A$4:C$6,3,0)</f>
        <v>104.71</v>
      </c>
      <c r="E24" s="31"/>
      <c r="F24" s="32"/>
      <c r="H24" s="30">
        <f>+H13+H14+H15</f>
        <v>161753</v>
      </c>
      <c r="I24" s="30">
        <f t="shared" ref="I24:J24" si="5">+I13+I14+I15</f>
        <v>204855</v>
      </c>
      <c r="J24" s="30">
        <f t="shared" si="5"/>
        <v>8972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874.73927502494189</v>
      </c>
      <c r="D26" s="31"/>
      <c r="E26" s="31">
        <f>SUM(E15:E25)</f>
        <v>78910.23000000001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448.57488083361045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612D-4E9F-40D8-B996-908EA1F55381}">
  <dimension ref="A1:X50"/>
  <sheetViews>
    <sheetView workbookViewId="0">
      <selection activeCell="K28" sqref="K2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52.389978938033487</v>
      </c>
    </row>
    <row r="4" spans="1:24" s="4" customFormat="1">
      <c r="A4" s="5" t="s">
        <v>14</v>
      </c>
      <c r="B4" s="14">
        <f>H16</f>
        <v>1620.7143539299018</v>
      </c>
      <c r="C4" s="6">
        <v>104.71</v>
      </c>
      <c r="D4" s="7">
        <f>B4*C4</f>
        <v>169705</v>
      </c>
      <c r="E4" s="8">
        <v>0</v>
      </c>
      <c r="F4" s="9">
        <f>+E4*C4</f>
        <v>0</v>
      </c>
      <c r="G4" s="8">
        <f>+K20</f>
        <v>616.58265686180891</v>
      </c>
      <c r="H4" s="9">
        <f>+G4*C4</f>
        <v>64562.37000000001</v>
      </c>
      <c r="I4" s="8">
        <f>J4/C4</f>
        <v>0</v>
      </c>
      <c r="J4" s="9">
        <v>0</v>
      </c>
      <c r="K4" s="10">
        <f>+M17</f>
        <v>119.99723044599371</v>
      </c>
      <c r="L4" s="9">
        <f>+K4*C4</f>
        <v>12564.91</v>
      </c>
      <c r="M4" s="11">
        <f>+M15</f>
        <v>202.80651322700794</v>
      </c>
      <c r="N4" s="9">
        <f t="shared" ref="N4:N6" si="0">+M4*C4</f>
        <v>21235.87</v>
      </c>
      <c r="O4" s="11"/>
      <c r="P4" s="9">
        <f>+O4*C4</f>
        <v>0</v>
      </c>
      <c r="Q4" s="8">
        <v>681.32795339509119</v>
      </c>
      <c r="R4" s="9">
        <f>+Q4*C4</f>
        <v>71341.849999999991</v>
      </c>
      <c r="S4" s="12">
        <f>+X4</f>
        <v>0</v>
      </c>
      <c r="T4" s="9">
        <f>+S4*C4</f>
        <v>0</v>
      </c>
      <c r="U4" s="13">
        <f>+B4-E4-G4-Q4-S4-K4-I4-M4-O4</f>
        <v>5.6843418860808015E-14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1312.0164061633966</v>
      </c>
      <c r="C5" s="6">
        <v>90.21</v>
      </c>
      <c r="D5" s="7">
        <f>B5*C5</f>
        <v>118357</v>
      </c>
      <c r="E5" s="8">
        <v>0</v>
      </c>
      <c r="F5" s="9">
        <f>+E5*C5</f>
        <v>0</v>
      </c>
      <c r="G5" s="8">
        <f>+M16</f>
        <v>133.87152200421238</v>
      </c>
      <c r="H5" s="9">
        <f>+G5*C5</f>
        <v>12076.549999999997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629.26405054871975</v>
      </c>
      <c r="N5" s="9">
        <f t="shared" si="0"/>
        <v>56765.91</v>
      </c>
      <c r="O5" s="11">
        <f>+P8/C5</f>
        <v>0</v>
      </c>
      <c r="P5" s="9">
        <f>+O5*C5</f>
        <v>0</v>
      </c>
      <c r="Q5" s="8">
        <v>496.49085467243094</v>
      </c>
      <c r="R5" s="9">
        <f>+Q5*C5</f>
        <v>44788.439999999995</v>
      </c>
      <c r="S5" s="12">
        <f>+X3</f>
        <v>52.389978938033487</v>
      </c>
      <c r="T5" s="9">
        <f>+S5*C5</f>
        <v>4726.1000000000004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15.301418439716313</v>
      </c>
      <c r="C6" s="6">
        <v>112.8</v>
      </c>
      <c r="D6" s="7">
        <f>B6*C6</f>
        <v>1726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15.301418439716313</v>
      </c>
      <c r="R6" s="9">
        <f>+Q6*C6</f>
        <v>1726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2948.0321785330143</v>
      </c>
      <c r="C7" s="5"/>
      <c r="D7" s="15">
        <f>SUM(D4:D6)</f>
        <v>289788</v>
      </c>
      <c r="E7" s="16">
        <f>SUM(E4:E6)</f>
        <v>0</v>
      </c>
      <c r="F7" s="17">
        <f>SUM(F4:F6)</f>
        <v>0</v>
      </c>
      <c r="G7" s="16">
        <f t="shared" ref="G7:T7" si="1">SUM(G4:G6)</f>
        <v>750.45417886602127</v>
      </c>
      <c r="H7" s="17">
        <f>SUM(H4:H6)</f>
        <v>76638.920000000013</v>
      </c>
      <c r="I7" s="16">
        <f>SUM(I4:I6)</f>
        <v>0</v>
      </c>
      <c r="J7" s="17">
        <f t="shared" si="1"/>
        <v>0</v>
      </c>
      <c r="K7" s="16">
        <f t="shared" si="1"/>
        <v>119.99723044599371</v>
      </c>
      <c r="L7" s="17">
        <f t="shared" si="1"/>
        <v>12564.91</v>
      </c>
      <c r="M7" s="16">
        <f t="shared" si="1"/>
        <v>832.07056377572769</v>
      </c>
      <c r="N7" s="17">
        <f t="shared" si="1"/>
        <v>78001.78</v>
      </c>
      <c r="O7" s="16">
        <f t="shared" si="1"/>
        <v>0</v>
      </c>
      <c r="P7" s="17">
        <f t="shared" si="1"/>
        <v>0</v>
      </c>
      <c r="Q7" s="16">
        <v>1193.1202265072384</v>
      </c>
      <c r="R7" s="17">
        <f>SUM(R4:R6)</f>
        <v>117856.28999999998</v>
      </c>
      <c r="S7" s="16">
        <f t="shared" si="1"/>
        <v>52.389978938033487</v>
      </c>
      <c r="T7" s="17">
        <f t="shared" si="1"/>
        <v>4726.1000000000004</v>
      </c>
      <c r="U7" s="13">
        <f>+B7-E7-G7-Q7-S7-K7-I7-M7-O7</f>
        <v>-2.2737367544323206E-13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76638.92</v>
      </c>
      <c r="I8" s="20"/>
      <c r="J8" s="21">
        <v>0</v>
      </c>
      <c r="K8" s="20"/>
      <c r="L8" s="21">
        <v>12564.91</v>
      </c>
      <c r="M8" s="22"/>
      <c r="N8" s="21">
        <v>78001.78</v>
      </c>
      <c r="O8" s="22" t="s">
        <v>19</v>
      </c>
      <c r="P8" s="21">
        <v>0</v>
      </c>
      <c r="Q8" s="20">
        <v>0</v>
      </c>
      <c r="R8" s="21">
        <v>102112</v>
      </c>
      <c r="S8" s="20"/>
      <c r="T8" s="21">
        <v>20470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15744.289999999979</v>
      </c>
      <c r="S9" s="23"/>
      <c r="T9" s="24">
        <f>+T7-T8</f>
        <v>-15743.9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0.39000000001396984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73281</v>
      </c>
      <c r="I13" s="41">
        <v>52385</v>
      </c>
      <c r="J13" s="32">
        <v>1726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96424</v>
      </c>
      <c r="I14" s="41">
        <v>24344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47</v>
      </c>
      <c r="B15" s="38" t="s">
        <v>13</v>
      </c>
      <c r="C15" s="31">
        <f t="shared" ref="C15" si="2">+E15/D15</f>
        <v>52.389978938033487</v>
      </c>
      <c r="D15" s="32">
        <v>90.21</v>
      </c>
      <c r="E15" s="43">
        <v>4726.1000000000004</v>
      </c>
      <c r="F15" s="38">
        <v>22545</v>
      </c>
      <c r="H15" s="41">
        <v>0</v>
      </c>
      <c r="I15" s="41">
        <v>41628</v>
      </c>
      <c r="J15" s="41"/>
      <c r="K15" s="42">
        <v>21235.87</v>
      </c>
      <c r="L15" s="32">
        <f>+C4</f>
        <v>104.71</v>
      </c>
      <c r="M15" s="32">
        <f>+K15/L15</f>
        <v>202.80651322700794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ref="C16:C25" si="3">+E16/D16</f>
        <v>0</v>
      </c>
      <c r="D16" s="32">
        <v>90.21</v>
      </c>
      <c r="E16" s="43">
        <v>0</v>
      </c>
      <c r="F16" s="38"/>
      <c r="H16" s="32">
        <f>+H24/C4</f>
        <v>1620.7143539299018</v>
      </c>
      <c r="I16" s="48">
        <f>+I24/C5</f>
        <v>1312.0164061633966</v>
      </c>
      <c r="J16" s="48">
        <f>+J24/C6</f>
        <v>15.301418439716313</v>
      </c>
      <c r="K16" s="42">
        <v>12076.55</v>
      </c>
      <c r="L16" s="32">
        <f>+C5</f>
        <v>90.21</v>
      </c>
      <c r="M16" s="41">
        <f>+K16/L16</f>
        <v>133.87152200421238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3"/>
        <v>0</v>
      </c>
      <c r="D17" s="32">
        <v>90.21</v>
      </c>
      <c r="E17" s="43">
        <v>0</v>
      </c>
      <c r="F17" s="38"/>
      <c r="H17" s="30"/>
      <c r="K17" s="41">
        <v>12564.91</v>
      </c>
      <c r="L17" s="32">
        <f>+C4</f>
        <v>104.71</v>
      </c>
      <c r="M17" s="32">
        <f>+K17/L17</f>
        <v>119.99723044599371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3"/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58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56765.91</v>
      </c>
      <c r="L19" s="32">
        <f>+L16</f>
        <v>90.21</v>
      </c>
      <c r="M19" s="41">
        <f>+K19/L19</f>
        <v>629.26405054871975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616.58265686180891</v>
      </c>
      <c r="L20" s="32">
        <f>+C4</f>
        <v>104.71</v>
      </c>
      <c r="M20" s="44">
        <v>64562.37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56765.91</v>
      </c>
      <c r="L21" s="32">
        <f>+L16</f>
        <v>90.21</v>
      </c>
      <c r="M21" s="41">
        <f>+K21/L21</f>
        <v>629.26405054871975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169705</v>
      </c>
      <c r="I24" s="30">
        <f t="shared" ref="I24:J24" si="5">+I13+I14+I15</f>
        <v>118357</v>
      </c>
      <c r="J24" s="30">
        <f t="shared" si="5"/>
        <v>1726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52.389978938033487</v>
      </c>
      <c r="D26" s="31"/>
      <c r="E26" s="31">
        <f>SUM(E15:E25)</f>
        <v>4726.1000000000004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52.389978938033487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A11-5E28-4158-81A8-A6FB0A86085D}">
  <dimension ref="A1:X50"/>
  <sheetViews>
    <sheetView workbookViewId="0">
      <selection activeCell="R15" sqref="R15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589.63972952000893</v>
      </c>
    </row>
    <row r="4" spans="1:24" s="4" customFormat="1">
      <c r="A4" s="5" t="s">
        <v>14</v>
      </c>
      <c r="B4" s="14">
        <f>H16</f>
        <v>1548.2486868493936</v>
      </c>
      <c r="C4" s="6">
        <v>104.71</v>
      </c>
      <c r="D4" s="7">
        <f>B4*C4</f>
        <v>162117.12</v>
      </c>
      <c r="E4" s="8">
        <v>0</v>
      </c>
      <c r="F4" s="9">
        <f>+E4*C4</f>
        <v>0</v>
      </c>
      <c r="G4" s="8">
        <f>+K20</f>
        <v>559.83143921306464</v>
      </c>
      <c r="H4" s="9">
        <f>+G4*C4</f>
        <v>58619.95</v>
      </c>
      <c r="I4" s="8">
        <f>J4/C4</f>
        <v>0</v>
      </c>
      <c r="J4" s="9">
        <v>0</v>
      </c>
      <c r="K4" s="10">
        <f>+M17</f>
        <v>140.58781396237228</v>
      </c>
      <c r="L4" s="9">
        <f>+K4*C4</f>
        <v>14720.95</v>
      </c>
      <c r="M4" s="11">
        <f>+M15</f>
        <v>10.855505682360807</v>
      </c>
      <c r="N4" s="9">
        <f t="shared" ref="N4:N6" si="0">+M4*C4</f>
        <v>1136.68</v>
      </c>
      <c r="O4" s="11"/>
      <c r="P4" s="9">
        <f>+O4*C4</f>
        <v>0</v>
      </c>
      <c r="Q4" s="8">
        <v>836.97392799159593</v>
      </c>
      <c r="R4" s="9">
        <f>+Q4*C4</f>
        <v>87639.540000000008</v>
      </c>
      <c r="S4" s="12">
        <f>+X4</f>
        <v>0</v>
      </c>
      <c r="T4" s="9">
        <f>+S4*C4</f>
        <v>0</v>
      </c>
      <c r="U4" s="13">
        <f>+B4-E4-G4-Q4-S4-K4-I4-M4-O4</f>
        <v>-4.9737991503207013E-14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1893.5847467021397</v>
      </c>
      <c r="C5" s="6">
        <v>90.21</v>
      </c>
      <c r="D5" s="7">
        <f>B5*C5</f>
        <v>170820.28</v>
      </c>
      <c r="E5" s="8">
        <v>0</v>
      </c>
      <c r="F5" s="9">
        <f>+E5*C5</f>
        <v>0</v>
      </c>
      <c r="G5" s="8">
        <f>+M16</f>
        <v>15.009422458707462</v>
      </c>
      <c r="H5" s="9">
        <f>+G5*C5</f>
        <v>1354</v>
      </c>
      <c r="I5" s="8">
        <f>+J8/C5</f>
        <v>33.255736614566018</v>
      </c>
      <c r="J5" s="9">
        <f>+I5*C5</f>
        <v>3000.0000000000005</v>
      </c>
      <c r="K5" s="8">
        <v>0</v>
      </c>
      <c r="L5" s="9">
        <f>+K5*C5</f>
        <v>0</v>
      </c>
      <c r="M5" s="11">
        <f>+M19</f>
        <v>734.29985589180808</v>
      </c>
      <c r="N5" s="9">
        <f t="shared" si="0"/>
        <v>66241.19</v>
      </c>
      <c r="O5" s="11">
        <f>+P8/C5</f>
        <v>0</v>
      </c>
      <c r="P5" s="9">
        <f>+O5*C5</f>
        <v>0</v>
      </c>
      <c r="Q5" s="8">
        <v>521.38000221704931</v>
      </c>
      <c r="R5" s="9">
        <f>+Q5*C5</f>
        <v>47033.690000000017</v>
      </c>
      <c r="S5" s="12">
        <f>+X3</f>
        <v>589.63972952000893</v>
      </c>
      <c r="T5" s="9">
        <f>+S5*C5</f>
        <v>53191.4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20.639982269503548</v>
      </c>
      <c r="C6" s="6">
        <v>112.8</v>
      </c>
      <c r="D6" s="7">
        <f>B6*C6</f>
        <v>2328.19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20.639982269503548</v>
      </c>
      <c r="R6" s="9">
        <f>+Q6*C6</f>
        <v>2328.19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3462.4734158210367</v>
      </c>
      <c r="C7" s="5"/>
      <c r="D7" s="15">
        <f>SUM(D4:D6)</f>
        <v>335265.59000000003</v>
      </c>
      <c r="E7" s="16">
        <f>SUM(E4:E6)</f>
        <v>0</v>
      </c>
      <c r="F7" s="17">
        <f>SUM(F4:F6)</f>
        <v>0</v>
      </c>
      <c r="G7" s="16">
        <f t="shared" ref="G7:T7" si="1">SUM(G4:G6)</f>
        <v>574.84086167177213</v>
      </c>
      <c r="H7" s="17">
        <f>SUM(H4:H6)</f>
        <v>59973.95</v>
      </c>
      <c r="I7" s="16">
        <f>SUM(I4:I6)</f>
        <v>33.255736614566018</v>
      </c>
      <c r="J7" s="17">
        <f t="shared" si="1"/>
        <v>3000.0000000000005</v>
      </c>
      <c r="K7" s="16">
        <f t="shared" si="1"/>
        <v>140.58781396237228</v>
      </c>
      <c r="L7" s="17">
        <f t="shared" si="1"/>
        <v>14720.95</v>
      </c>
      <c r="M7" s="16">
        <f t="shared" si="1"/>
        <v>745.15536157416886</v>
      </c>
      <c r="N7" s="17">
        <f t="shared" si="1"/>
        <v>67377.87</v>
      </c>
      <c r="O7" s="16">
        <f t="shared" si="1"/>
        <v>0</v>
      </c>
      <c r="P7" s="17">
        <f t="shared" si="1"/>
        <v>0</v>
      </c>
      <c r="Q7" s="16">
        <v>1378.9939124781483</v>
      </c>
      <c r="R7" s="17">
        <f>SUM(R4:R6)</f>
        <v>137001.42000000004</v>
      </c>
      <c r="S7" s="16">
        <f t="shared" si="1"/>
        <v>589.63972952000893</v>
      </c>
      <c r="T7" s="17">
        <f t="shared" si="1"/>
        <v>53191.4</v>
      </c>
      <c r="U7" s="13">
        <f>+B7-E7-G7-Q7-S7-K7-I7-M7-O7</f>
        <v>3.4106051316484809E-13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59973.95</v>
      </c>
      <c r="I8" s="20"/>
      <c r="J8" s="21">
        <v>3000</v>
      </c>
      <c r="K8" s="20"/>
      <c r="L8" s="21">
        <v>14720.95</v>
      </c>
      <c r="M8" s="22"/>
      <c r="N8" s="21">
        <v>67377.87</v>
      </c>
      <c r="O8" s="22" t="s">
        <v>19</v>
      </c>
      <c r="P8" s="21">
        <v>0</v>
      </c>
      <c r="Q8" s="20">
        <v>0</v>
      </c>
      <c r="R8" s="21">
        <v>131501</v>
      </c>
      <c r="S8" s="20"/>
      <c r="T8" s="21">
        <v>58691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5500.4200000000419</v>
      </c>
      <c r="S9" s="23"/>
      <c r="T9" s="24">
        <f>+T7-T8</f>
        <v>-5499.5999999999985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0.82000000000698492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59783.12</v>
      </c>
      <c r="I13" s="41">
        <v>70616.820000000007</v>
      </c>
      <c r="J13" s="32">
        <v>2328.19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102334</v>
      </c>
      <c r="I14" s="41">
        <v>40883.17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58</v>
      </c>
      <c r="B15" s="38" t="s">
        <v>13</v>
      </c>
      <c r="C15" s="31">
        <f t="shared" ref="C15:C18" si="2">+E15/D15</f>
        <v>37.689945682296866</v>
      </c>
      <c r="D15" s="32">
        <v>90.21</v>
      </c>
      <c r="E15" s="43">
        <v>3400.01</v>
      </c>
      <c r="F15" s="38">
        <v>22551</v>
      </c>
      <c r="H15" s="41">
        <v>0</v>
      </c>
      <c r="I15" s="41">
        <v>59320.29</v>
      </c>
      <c r="J15" s="41"/>
      <c r="K15" s="42">
        <v>1136.68</v>
      </c>
      <c r="L15" s="32">
        <f>+C4</f>
        <v>104.71</v>
      </c>
      <c r="M15" s="32">
        <f>+K15/L15</f>
        <v>10.855505682360807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217.2699257288549</v>
      </c>
      <c r="D16" s="32">
        <v>90.21</v>
      </c>
      <c r="E16" s="43">
        <v>19599.919999999998</v>
      </c>
      <c r="F16" s="38">
        <v>22547</v>
      </c>
      <c r="H16" s="32">
        <f>+H24/C4</f>
        <v>1548.2486868493936</v>
      </c>
      <c r="I16" s="48">
        <f>+I24/C5</f>
        <v>1893.5847467021397</v>
      </c>
      <c r="J16" s="48">
        <f>+J24/C6</f>
        <v>20.639982269503548</v>
      </c>
      <c r="K16" s="42">
        <v>1354</v>
      </c>
      <c r="L16" s="32">
        <f>+C5</f>
        <v>90.21</v>
      </c>
      <c r="M16" s="41">
        <f>+K16/L16</f>
        <v>15.009422458707462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200.18989025606919</v>
      </c>
      <c r="D17" s="32">
        <v>90.21</v>
      </c>
      <c r="E17" s="43">
        <v>18059.13</v>
      </c>
      <c r="F17" s="38">
        <v>22548</v>
      </c>
      <c r="H17" s="30"/>
      <c r="K17" s="41">
        <v>14720.95</v>
      </c>
      <c r="L17" s="32">
        <f>+C4</f>
        <v>104.71</v>
      </c>
      <c r="M17" s="32">
        <f>+K17/L17</f>
        <v>140.58781396237228</v>
      </c>
      <c r="P17">
        <v>62847.72</v>
      </c>
    </row>
    <row r="18" spans="1:16">
      <c r="A18" s="38" t="s">
        <v>48</v>
      </c>
      <c r="B18" s="38" t="s">
        <v>13</v>
      </c>
      <c r="C18" s="31">
        <f t="shared" si="2"/>
        <v>134.48996785278794</v>
      </c>
      <c r="D18" s="32">
        <v>90.21</v>
      </c>
      <c r="E18" s="43">
        <v>12132.34</v>
      </c>
      <c r="F18" s="38">
        <v>22549</v>
      </c>
      <c r="P18">
        <v>199</v>
      </c>
    </row>
    <row r="19" spans="1:16">
      <c r="A19" s="38" t="s">
        <v>58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66241.19</v>
      </c>
      <c r="L19" s="32">
        <f>+L16</f>
        <v>90.21</v>
      </c>
      <c r="M19" s="41">
        <f>+K19/L19</f>
        <v>734.29985589180808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559.83143921306464</v>
      </c>
      <c r="L20" s="32">
        <f>+C4</f>
        <v>104.71</v>
      </c>
      <c r="M20" s="44">
        <v>58619.95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66241.19</v>
      </c>
      <c r="L21" s="32">
        <f>+L16</f>
        <v>90.21</v>
      </c>
      <c r="M21" s="41">
        <f>+K21/L21</f>
        <v>734.29985589180808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162117.12</v>
      </c>
      <c r="I24" s="30">
        <f t="shared" ref="I24:J24" si="5">+I13+I14+I15</f>
        <v>170820.28</v>
      </c>
      <c r="J24" s="30">
        <f t="shared" si="5"/>
        <v>2328.19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589.63972952000893</v>
      </c>
      <c r="D26" s="31"/>
      <c r="E26" s="31">
        <f>SUM(E15:E25)</f>
        <v>53191.399999999994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254.95987141115177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5A2A-83F9-4323-9F6F-BBF266E5B718}">
  <dimension ref="A1:X50"/>
  <sheetViews>
    <sheetView workbookViewId="0">
      <selection activeCell="S16" sqref="S1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489.23301186121273</v>
      </c>
    </row>
    <row r="4" spans="1:24" s="4" customFormat="1">
      <c r="A4" s="5" t="s">
        <v>14</v>
      </c>
      <c r="B4" s="14">
        <f>H16</f>
        <v>1609.177728965715</v>
      </c>
      <c r="C4" s="6">
        <v>104.71</v>
      </c>
      <c r="D4" s="7">
        <f>B4*C4</f>
        <v>168497</v>
      </c>
      <c r="E4" s="8">
        <v>0</v>
      </c>
      <c r="F4" s="9">
        <f>+E4*C4</f>
        <v>0</v>
      </c>
      <c r="G4" s="8">
        <f>+K20</f>
        <v>508.475312768599</v>
      </c>
      <c r="H4" s="9">
        <f>+G4*C4</f>
        <v>53242.45</v>
      </c>
      <c r="I4" s="8">
        <f>J4/C4</f>
        <v>0</v>
      </c>
      <c r="J4" s="9">
        <v>0</v>
      </c>
      <c r="K4" s="10">
        <f>+M17</f>
        <v>74.256135994651899</v>
      </c>
      <c r="L4" s="9">
        <f>+K4*C4</f>
        <v>7775.36</v>
      </c>
      <c r="M4" s="11">
        <f>+M15</f>
        <v>195.55773087575207</v>
      </c>
      <c r="N4" s="9">
        <f t="shared" ref="N4:N6" si="0">+M4*C4</f>
        <v>20476.849999999999</v>
      </c>
      <c r="O4" s="11"/>
      <c r="P4" s="9">
        <f>+O4*C4</f>
        <v>0</v>
      </c>
      <c r="Q4" s="8">
        <v>830.888549326712</v>
      </c>
      <c r="R4" s="9">
        <f>+Q4*C4</f>
        <v>87002.340000000011</v>
      </c>
      <c r="S4" s="12">
        <f>+X4</f>
        <v>0</v>
      </c>
      <c r="T4" s="9">
        <f>+S4*C4</f>
        <v>0</v>
      </c>
      <c r="U4" s="13">
        <f>+B4-E4-G4-Q4-S4-K4-I4-M4-O4</f>
        <v>2.8421709430404007E-14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1679.0932269149762</v>
      </c>
      <c r="C5" s="6">
        <v>90.21</v>
      </c>
      <c r="D5" s="7">
        <f>B5*C5</f>
        <v>151471</v>
      </c>
      <c r="E5" s="8">
        <v>0</v>
      </c>
      <c r="F5" s="9">
        <f>+E5*C5</f>
        <v>0</v>
      </c>
      <c r="G5" s="8">
        <f>+M16</f>
        <v>45.786165613568343</v>
      </c>
      <c r="H5" s="9">
        <f>+G5*C5</f>
        <v>4130.37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632.21272586187797</v>
      </c>
      <c r="N5" s="9">
        <f t="shared" si="0"/>
        <v>57031.910000000011</v>
      </c>
      <c r="O5" s="11">
        <f>+P8/C5</f>
        <v>0</v>
      </c>
      <c r="P5" s="9">
        <f>+O5*C5</f>
        <v>0</v>
      </c>
      <c r="Q5" s="8">
        <v>511.8613235783173</v>
      </c>
      <c r="R5" s="9">
        <f>+Q5*C5</f>
        <v>46175.01</v>
      </c>
      <c r="S5" s="12">
        <f>+X3</f>
        <v>489.23301186121273</v>
      </c>
      <c r="T5" s="9">
        <f>+S5*C5</f>
        <v>44133.71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125.13297872340426</v>
      </c>
      <c r="C6" s="6">
        <v>112.8</v>
      </c>
      <c r="D6" s="7">
        <f>B6*C6</f>
        <v>14115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125.13297872340426</v>
      </c>
      <c r="R6" s="9">
        <f>+Q6*C6</f>
        <v>14115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3413.4039346040954</v>
      </c>
      <c r="C7" s="5"/>
      <c r="D7" s="15">
        <f>SUM(D4:D6)</f>
        <v>334083</v>
      </c>
      <c r="E7" s="16">
        <f>SUM(E4:E6)</f>
        <v>0</v>
      </c>
      <c r="F7" s="17">
        <f>SUM(F4:F6)</f>
        <v>0</v>
      </c>
      <c r="G7" s="16">
        <f t="shared" ref="G7:T7" si="1">SUM(G4:G6)</f>
        <v>554.2614783821673</v>
      </c>
      <c r="H7" s="17">
        <f>SUM(H4:H6)</f>
        <v>57372.82</v>
      </c>
      <c r="I7" s="16">
        <f>SUM(I4:I6)</f>
        <v>0</v>
      </c>
      <c r="J7" s="17">
        <f t="shared" si="1"/>
        <v>0</v>
      </c>
      <c r="K7" s="16">
        <f t="shared" si="1"/>
        <v>74.256135994651899</v>
      </c>
      <c r="L7" s="17">
        <f t="shared" si="1"/>
        <v>7775.36</v>
      </c>
      <c r="M7" s="16">
        <f t="shared" si="1"/>
        <v>827.77045673763007</v>
      </c>
      <c r="N7" s="17">
        <f t="shared" si="1"/>
        <v>77508.760000000009</v>
      </c>
      <c r="O7" s="16">
        <f t="shared" si="1"/>
        <v>0</v>
      </c>
      <c r="P7" s="17">
        <f t="shared" si="1"/>
        <v>0</v>
      </c>
      <c r="Q7" s="16">
        <v>1467.8828516284339</v>
      </c>
      <c r="R7" s="17">
        <f>SUM(R4:R6)</f>
        <v>147292.35</v>
      </c>
      <c r="S7" s="16">
        <f t="shared" si="1"/>
        <v>489.23301186121273</v>
      </c>
      <c r="T7" s="17">
        <f t="shared" si="1"/>
        <v>44133.71</v>
      </c>
      <c r="U7" s="13">
        <f>+B7-E7-G7-Q7-S7-K7-I7-M7-O7</f>
        <v>-4.5474735088646412E-13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57372.82</v>
      </c>
      <c r="I8" s="20"/>
      <c r="J8" s="21">
        <v>0</v>
      </c>
      <c r="K8" s="20"/>
      <c r="L8" s="21">
        <v>7775.36</v>
      </c>
      <c r="M8" s="22"/>
      <c r="N8" s="21">
        <v>77508.759999999995</v>
      </c>
      <c r="O8" s="22" t="s">
        <v>19</v>
      </c>
      <c r="P8" s="21">
        <v>0</v>
      </c>
      <c r="Q8" s="20">
        <v>0</v>
      </c>
      <c r="R8" s="21">
        <v>147292</v>
      </c>
      <c r="S8" s="20"/>
      <c r="T8" s="21">
        <v>44133.71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0.35000000000582077</v>
      </c>
      <c r="S9" s="23"/>
      <c r="T9" s="24">
        <f>+T7-T8</f>
        <v>0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0.35000000002037268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64727</v>
      </c>
      <c r="I13" s="41">
        <v>79445</v>
      </c>
      <c r="J13" s="32">
        <v>14115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103770</v>
      </c>
      <c r="I14" s="41">
        <v>13137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49</v>
      </c>
      <c r="B15" s="38" t="s">
        <v>13</v>
      </c>
      <c r="C15" s="31">
        <f t="shared" ref="C15:C17" si="2">+E15/D15</f>
        <v>226.63995122491963</v>
      </c>
      <c r="D15" s="32">
        <v>90.21</v>
      </c>
      <c r="E15" s="43">
        <v>20445.189999999999</v>
      </c>
      <c r="F15" s="38">
        <v>22559</v>
      </c>
      <c r="H15" s="41">
        <v>0</v>
      </c>
      <c r="I15" s="41">
        <v>58889</v>
      </c>
      <c r="J15" s="41"/>
      <c r="K15" s="42">
        <v>20476.849999999999</v>
      </c>
      <c r="L15" s="32">
        <f>+C4</f>
        <v>104.71</v>
      </c>
      <c r="M15" s="32">
        <f>+K15/L15</f>
        <v>195.55773087575207</v>
      </c>
      <c r="P15">
        <v>38634.78</v>
      </c>
      <c r="V15">
        <f>2123+9236+3417.23+18069.1</f>
        <v>32845.33</v>
      </c>
    </row>
    <row r="16" spans="1:24">
      <c r="A16" s="38" t="s">
        <v>55</v>
      </c>
      <c r="B16" s="38" t="s">
        <v>13</v>
      </c>
      <c r="C16" s="31">
        <f t="shared" si="2"/>
        <v>223.57831725972733</v>
      </c>
      <c r="D16" s="32">
        <v>90.21</v>
      </c>
      <c r="E16" s="43">
        <v>20169</v>
      </c>
      <c r="F16" s="38">
        <v>22552</v>
      </c>
      <c r="H16" s="32">
        <f>+H24/C4</f>
        <v>1609.177728965715</v>
      </c>
      <c r="I16" s="48">
        <f>+I24/C5</f>
        <v>1679.0932269149762</v>
      </c>
      <c r="J16" s="48">
        <f>+J24/C6</f>
        <v>125.13297872340426</v>
      </c>
      <c r="K16" s="42">
        <v>4130.37</v>
      </c>
      <c r="L16" s="32">
        <f>+C5</f>
        <v>90.21</v>
      </c>
      <c r="M16" s="41">
        <f>+K16/L16</f>
        <v>45.786165613568343</v>
      </c>
      <c r="P16">
        <v>68665.22</v>
      </c>
    </row>
    <row r="17" spans="1:16">
      <c r="A17" s="38" t="s">
        <v>43</v>
      </c>
      <c r="B17" s="38" t="s">
        <v>13</v>
      </c>
      <c r="C17" s="31">
        <f t="shared" si="2"/>
        <v>39.014743376565796</v>
      </c>
      <c r="D17" s="32">
        <v>90.21</v>
      </c>
      <c r="E17" s="43">
        <v>3519.52</v>
      </c>
      <c r="F17" s="38">
        <v>22553</v>
      </c>
      <c r="H17" s="30"/>
      <c r="K17" s="41">
        <v>7775.36</v>
      </c>
      <c r="L17" s="32">
        <f>+C4</f>
        <v>104.71</v>
      </c>
      <c r="M17" s="32">
        <f>+K17/L17</f>
        <v>74.256135994651899</v>
      </c>
      <c r="P17">
        <v>62847.72</v>
      </c>
    </row>
    <row r="18" spans="1:16">
      <c r="A18" s="38" t="s">
        <v>48</v>
      </c>
      <c r="B18" s="38" t="s">
        <v>13</v>
      </c>
      <c r="C18" s="31">
        <f t="shared" ref="C18:C25" si="3">+E18/D18</f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58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57031.91</v>
      </c>
      <c r="L19" s="32">
        <f>+L16</f>
        <v>90.21</v>
      </c>
      <c r="M19" s="41">
        <f>+K19/L19</f>
        <v>632.21272586187797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508.475312768599</v>
      </c>
      <c r="L20" s="32">
        <f>+C4</f>
        <v>104.71</v>
      </c>
      <c r="M20" s="44">
        <v>53242.45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57031.909999999996</v>
      </c>
      <c r="L21" s="32">
        <f>+L16</f>
        <v>90.21</v>
      </c>
      <c r="M21" s="41">
        <f>+K21/L21</f>
        <v>632.21272586187786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168497</v>
      </c>
      <c r="I24" s="30">
        <f t="shared" ref="I24:J24" si="5">+I13+I14+I15</f>
        <v>151471</v>
      </c>
      <c r="J24" s="30">
        <f t="shared" si="5"/>
        <v>14115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489.23301186121273</v>
      </c>
      <c r="D26" s="31"/>
      <c r="E26" s="31">
        <f>SUM(E15:E25)</f>
        <v>44133.71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450.21826848464696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5580-B08D-4C18-A591-4760560035B3}">
  <dimension ref="A1:X50"/>
  <sheetViews>
    <sheetView workbookViewId="0">
      <selection activeCell="Q4" sqref="Q4:Q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876.60802571776969</v>
      </c>
    </row>
    <row r="4" spans="1:24" s="4" customFormat="1">
      <c r="A4" s="5" t="s">
        <v>14</v>
      </c>
      <c r="B4" s="14">
        <f>H16</f>
        <v>1458.9819501480279</v>
      </c>
      <c r="C4" s="6">
        <v>104.71</v>
      </c>
      <c r="D4" s="7">
        <f>B4*C4</f>
        <v>152770</v>
      </c>
      <c r="E4" s="8">
        <v>0</v>
      </c>
      <c r="F4" s="9">
        <f>+E4*C4</f>
        <v>0</v>
      </c>
      <c r="G4" s="8">
        <f>+K20</f>
        <v>449.64368255180983</v>
      </c>
      <c r="H4" s="9">
        <f>+G4*C4</f>
        <v>47082.19</v>
      </c>
      <c r="I4" s="8">
        <f>J4/C4</f>
        <v>0</v>
      </c>
      <c r="J4" s="9">
        <v>0</v>
      </c>
      <c r="K4" s="10">
        <f>+M17</f>
        <v>90.679018240855697</v>
      </c>
      <c r="L4" s="9">
        <f>+K4*C4</f>
        <v>9495</v>
      </c>
      <c r="M4" s="11">
        <f>+M15</f>
        <v>166.13370260720086</v>
      </c>
      <c r="N4" s="9">
        <f t="shared" ref="N4:N6" si="0">+M4*C4</f>
        <v>17395.86</v>
      </c>
      <c r="O4" s="11"/>
      <c r="P4" s="9">
        <f>+O4*C4</f>
        <v>0</v>
      </c>
      <c r="Q4" s="8">
        <v>752.52554674816133</v>
      </c>
      <c r="R4" s="9">
        <f>+Q4*C4</f>
        <v>78796.949999999968</v>
      </c>
      <c r="S4" s="12">
        <f>+X4</f>
        <v>0</v>
      </c>
      <c r="T4" s="9">
        <f>+S4*C4</f>
        <v>0</v>
      </c>
      <c r="U4" s="13">
        <f>+B4-E4-G4-Q4-S4-K4-I4-M4-O4</f>
        <v>8.5265128291212022E-14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2040.649595388538</v>
      </c>
      <c r="C5" s="6">
        <v>90.21</v>
      </c>
      <c r="D5" s="7">
        <f>B5*C5</f>
        <v>184087</v>
      </c>
      <c r="E5" s="8">
        <v>0</v>
      </c>
      <c r="F5" s="9">
        <f>+E5*C5</f>
        <v>0</v>
      </c>
      <c r="G5" s="8">
        <f>+M16</f>
        <v>184.19864760004438</v>
      </c>
      <c r="H5" s="9">
        <f>+G5*C5</f>
        <v>16616.560000000001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611.65602483095006</v>
      </c>
      <c r="N5" s="9">
        <f t="shared" si="0"/>
        <v>55177.49</v>
      </c>
      <c r="O5" s="11">
        <f>+P8/C5</f>
        <v>0</v>
      </c>
      <c r="P5" s="9">
        <f>+O5*C5</f>
        <v>0</v>
      </c>
      <c r="Q5" s="8">
        <v>368.186897239774</v>
      </c>
      <c r="R5" s="9">
        <f>+Q5*C5</f>
        <v>33214.140000000007</v>
      </c>
      <c r="S5" s="12">
        <f>+X3</f>
        <v>876.60802571776969</v>
      </c>
      <c r="T5" s="9">
        <f>+S5*C5</f>
        <v>79078.81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156.1790780141844</v>
      </c>
      <c r="C6" s="6">
        <v>112.8</v>
      </c>
      <c r="D6" s="7">
        <f>B6*C6</f>
        <v>17617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156.1790780141844</v>
      </c>
      <c r="R6" s="9">
        <f>+Q6*C6</f>
        <v>17617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3655.8106235507503</v>
      </c>
      <c r="C7" s="5"/>
      <c r="D7" s="15">
        <f>SUM(D4:D6)</f>
        <v>354474</v>
      </c>
      <c r="E7" s="16">
        <f>SUM(E4:E6)</f>
        <v>0</v>
      </c>
      <c r="F7" s="17">
        <f>SUM(F4:F6)</f>
        <v>0</v>
      </c>
      <c r="G7" s="16">
        <f t="shared" ref="G7:T7" si="1">SUM(G4:G6)</f>
        <v>633.84233015185418</v>
      </c>
      <c r="H7" s="17">
        <f>SUM(H4:H6)</f>
        <v>63698.75</v>
      </c>
      <c r="I7" s="16">
        <f>SUM(I4:I6)</f>
        <v>0</v>
      </c>
      <c r="J7" s="17">
        <f t="shared" si="1"/>
        <v>0</v>
      </c>
      <c r="K7" s="16">
        <f t="shared" si="1"/>
        <v>90.679018240855697</v>
      </c>
      <c r="L7" s="17">
        <f t="shared" si="1"/>
        <v>9495</v>
      </c>
      <c r="M7" s="16">
        <f t="shared" si="1"/>
        <v>777.78972743815098</v>
      </c>
      <c r="N7" s="17">
        <f t="shared" si="1"/>
        <v>72573.350000000006</v>
      </c>
      <c r="O7" s="16">
        <f t="shared" si="1"/>
        <v>0</v>
      </c>
      <c r="P7" s="17">
        <f t="shared" si="1"/>
        <v>0</v>
      </c>
      <c r="Q7" s="16">
        <v>1276.8915220021197</v>
      </c>
      <c r="R7" s="17">
        <f>SUM(R4:R6)</f>
        <v>129628.08999999997</v>
      </c>
      <c r="S7" s="16">
        <f t="shared" si="1"/>
        <v>876.60802571776969</v>
      </c>
      <c r="T7" s="17">
        <f t="shared" si="1"/>
        <v>79078.81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63698.75</v>
      </c>
      <c r="I8" s="20"/>
      <c r="J8" s="21">
        <v>0</v>
      </c>
      <c r="K8" s="20"/>
      <c r="L8" s="21">
        <v>9495</v>
      </c>
      <c r="M8" s="22"/>
      <c r="N8" s="21">
        <v>72573.350000000006</v>
      </c>
      <c r="O8" s="22" t="s">
        <v>19</v>
      </c>
      <c r="P8" s="21">
        <v>0</v>
      </c>
      <c r="Q8" s="20">
        <v>0</v>
      </c>
      <c r="R8" s="21">
        <v>123175</v>
      </c>
      <c r="S8" s="20"/>
      <c r="T8" s="21">
        <v>85531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6453.0899999999674</v>
      </c>
      <c r="S9" s="23"/>
      <c r="T9" s="24">
        <f>+T7-T8</f>
        <v>-6452.1900000000023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0.89999999999417923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57259</v>
      </c>
      <c r="I13" s="41">
        <v>47374</v>
      </c>
      <c r="J13" s="32">
        <v>17617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95511</v>
      </c>
      <c r="I14" s="41">
        <v>50041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19" si="2">+E15/D15</f>
        <v>210.1762554040572</v>
      </c>
      <c r="D15" s="32">
        <v>90.21</v>
      </c>
      <c r="E15" s="43">
        <v>18960</v>
      </c>
      <c r="F15" s="38">
        <v>22556</v>
      </c>
      <c r="H15" s="41">
        <v>0</v>
      </c>
      <c r="I15" s="41">
        <v>86672</v>
      </c>
      <c r="J15" s="41"/>
      <c r="K15" s="42">
        <v>17395.86</v>
      </c>
      <c r="L15" s="32">
        <f>+C4</f>
        <v>104.71</v>
      </c>
      <c r="M15" s="32">
        <f>+K15/L15</f>
        <v>166.13370260720086</v>
      </c>
      <c r="P15">
        <v>38634.78</v>
      </c>
      <c r="V15">
        <f>2123+9236+3417.23+18069.1</f>
        <v>32845.33</v>
      </c>
    </row>
    <row r="16" spans="1:24">
      <c r="A16" s="38" t="s">
        <v>42</v>
      </c>
      <c r="B16" s="38" t="s">
        <v>13</v>
      </c>
      <c r="C16" s="31">
        <f t="shared" si="2"/>
        <v>243.87662121715999</v>
      </c>
      <c r="D16" s="32">
        <v>90.21</v>
      </c>
      <c r="E16" s="43">
        <v>22000.11</v>
      </c>
      <c r="F16" s="38">
        <v>22557</v>
      </c>
      <c r="H16" s="32">
        <f>+H24/C4</f>
        <v>1458.9819501480279</v>
      </c>
      <c r="I16" s="48">
        <f>+I24/C5</f>
        <v>2040.649595388538</v>
      </c>
      <c r="J16" s="48">
        <f>+J24/C6</f>
        <v>156.1790780141844</v>
      </c>
      <c r="K16" s="42">
        <v>16616.560000000001</v>
      </c>
      <c r="L16" s="32">
        <f>+C5</f>
        <v>90.21</v>
      </c>
      <c r="M16" s="41">
        <f>+K16/L16</f>
        <v>184.19864760004438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170.59217381665005</v>
      </c>
      <c r="D17" s="32">
        <v>90.21</v>
      </c>
      <c r="E17" s="43">
        <v>15389.12</v>
      </c>
      <c r="F17" s="38">
        <v>22558</v>
      </c>
      <c r="H17" s="30"/>
      <c r="K17" s="41">
        <v>9495</v>
      </c>
      <c r="L17" s="32">
        <f>+C4</f>
        <v>104.71</v>
      </c>
      <c r="M17" s="32">
        <f>+K17/L17</f>
        <v>90.679018240855697</v>
      </c>
      <c r="P17">
        <v>62847.72</v>
      </c>
    </row>
    <row r="18" spans="1:16">
      <c r="A18" s="38" t="s">
        <v>56</v>
      </c>
      <c r="B18" s="38" t="s">
        <v>13</v>
      </c>
      <c r="C18" s="31">
        <f t="shared" si="2"/>
        <v>13.743044008424787</v>
      </c>
      <c r="D18" s="32">
        <v>90.21</v>
      </c>
      <c r="E18" s="43">
        <v>1239.76</v>
      </c>
      <c r="F18" s="38">
        <v>22559</v>
      </c>
      <c r="P18">
        <v>199</v>
      </c>
    </row>
    <row r="19" spans="1:16">
      <c r="A19" s="38" t="s">
        <v>42</v>
      </c>
      <c r="B19" s="38" t="s">
        <v>13</v>
      </c>
      <c r="C19" s="31">
        <f t="shared" si="2"/>
        <v>238.21993127147766</v>
      </c>
      <c r="D19" s="32">
        <v>90.21</v>
      </c>
      <c r="E19" s="43">
        <v>21489.82</v>
      </c>
      <c r="F19" s="38">
        <v>22560</v>
      </c>
      <c r="H19">
        <f>179130.55+24221.9</f>
        <v>203352.44999999998</v>
      </c>
      <c r="K19" s="47">
        <v>55177.49</v>
      </c>
      <c r="L19" s="32">
        <f>+L16</f>
        <v>90.21</v>
      </c>
      <c r="M19" s="41">
        <f>+K19/L19</f>
        <v>611.65602483095006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449.64368255180983</v>
      </c>
      <c r="L20" s="32">
        <f>+C4</f>
        <v>104.71</v>
      </c>
      <c r="M20" s="44">
        <v>47082.19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55177.490000000005</v>
      </c>
      <c r="L21" s="32">
        <f>+L16</f>
        <v>90.21</v>
      </c>
      <c r="M21" s="41">
        <f>+K21/L21</f>
        <v>611.65602483095006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152770</v>
      </c>
      <c r="I24" s="30">
        <f t="shared" ref="I24:J24" si="5">+I13+I14+I15</f>
        <v>184087</v>
      </c>
      <c r="J24" s="30">
        <f t="shared" si="5"/>
        <v>17617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876.60802571776969</v>
      </c>
      <c r="D26" s="31"/>
      <c r="E26" s="31">
        <f>SUM(E15:E25)</f>
        <v>79078.81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454.05287662121719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4F23-4D8A-4F47-8FD7-74CD0140DC10}">
  <dimension ref="A1:X50"/>
  <sheetViews>
    <sheetView workbookViewId="0">
      <selection activeCell="T24" sqref="T2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262.63995122491968</v>
      </c>
    </row>
    <row r="4" spans="1:24" s="4" customFormat="1">
      <c r="A4" s="5" t="s">
        <v>14</v>
      </c>
      <c r="B4" s="14">
        <f>H16</f>
        <v>1465.6670805080701</v>
      </c>
      <c r="C4" s="6">
        <v>104.71</v>
      </c>
      <c r="D4" s="7">
        <f>B4*C4</f>
        <v>153470</v>
      </c>
      <c r="E4" s="8">
        <v>0</v>
      </c>
      <c r="F4" s="9">
        <f>+E4*C4</f>
        <v>0</v>
      </c>
      <c r="G4" s="8">
        <f>+K20</f>
        <v>486.38277146404357</v>
      </c>
      <c r="H4" s="9">
        <f>+G4*C4</f>
        <v>50929.14</v>
      </c>
      <c r="I4" s="8">
        <f>J4/C4</f>
        <v>0</v>
      </c>
      <c r="J4" s="9">
        <v>0</v>
      </c>
      <c r="K4" s="10">
        <f>+M17</f>
        <v>102.24429376372839</v>
      </c>
      <c r="L4" s="9">
        <f>+K4*C4</f>
        <v>10706</v>
      </c>
      <c r="M4" s="11">
        <f>+M15</f>
        <v>58.773756088243722</v>
      </c>
      <c r="N4" s="9">
        <f t="shared" ref="N4:N6" si="0">+M4*C4</f>
        <v>6154.2</v>
      </c>
      <c r="O4" s="11"/>
      <c r="P4" s="9">
        <f>+O4*C4</f>
        <v>0</v>
      </c>
      <c r="Q4" s="8">
        <v>818.26625919205435</v>
      </c>
      <c r="R4" s="9">
        <f>+Q4*C4</f>
        <v>85680.66</v>
      </c>
      <c r="S4" s="12">
        <f>+X4</f>
        <v>0</v>
      </c>
      <c r="T4" s="9">
        <f>+S4*C4</f>
        <v>0</v>
      </c>
      <c r="U4" s="13">
        <f>+B4-E4-G4-Q4-S4-K4-I4-M4-O4</f>
        <v>2.1316282072803006E-14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1309.2561800243877</v>
      </c>
      <c r="C5" s="6">
        <v>90.21</v>
      </c>
      <c r="D5" s="7">
        <f>B5*C5</f>
        <v>118108.00000000001</v>
      </c>
      <c r="E5" s="8">
        <v>0</v>
      </c>
      <c r="F5" s="9">
        <f>+E5*C5</f>
        <v>0</v>
      </c>
      <c r="G5" s="8">
        <f>+M16</f>
        <v>24.631304733399844</v>
      </c>
      <c r="H5" s="9">
        <f>+G5*C5</f>
        <v>2221.9899999999998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669.30706130140788</v>
      </c>
      <c r="N5" s="9">
        <f t="shared" si="0"/>
        <v>60378.19</v>
      </c>
      <c r="O5" s="11">
        <f>+P8/C5</f>
        <v>0</v>
      </c>
      <c r="P5" s="9">
        <f>+O5*C5</f>
        <v>0</v>
      </c>
      <c r="Q5" s="8">
        <v>352.67786276466018</v>
      </c>
      <c r="R5" s="9">
        <f>+Q5*C5</f>
        <v>31815.069999999992</v>
      </c>
      <c r="S5" s="12">
        <f>+X3</f>
        <v>262.63995122491968</v>
      </c>
      <c r="T5" s="9">
        <f>+S5*C5</f>
        <v>23692.750000000004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20.824468085106382</v>
      </c>
      <c r="C6" s="6">
        <v>112.8</v>
      </c>
      <c r="D6" s="7">
        <f>B6*C6</f>
        <v>2349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20.824468085106382</v>
      </c>
      <c r="R6" s="9">
        <f>+Q6*C6</f>
        <v>2349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2795.747728617564</v>
      </c>
      <c r="C7" s="5"/>
      <c r="D7" s="15">
        <f>SUM(D4:D6)</f>
        <v>273927</v>
      </c>
      <c r="E7" s="16">
        <f>SUM(E4:E6)</f>
        <v>0</v>
      </c>
      <c r="F7" s="17">
        <f>SUM(F4:F6)</f>
        <v>0</v>
      </c>
      <c r="G7" s="16">
        <f t="shared" ref="G7:T7" si="1">SUM(G4:G6)</f>
        <v>511.01407619744339</v>
      </c>
      <c r="H7" s="17">
        <f>SUM(H4:H6)</f>
        <v>53151.13</v>
      </c>
      <c r="I7" s="16">
        <f>SUM(I4:I6)</f>
        <v>0</v>
      </c>
      <c r="J7" s="17">
        <f t="shared" si="1"/>
        <v>0</v>
      </c>
      <c r="K7" s="16">
        <f t="shared" si="1"/>
        <v>102.24429376372839</v>
      </c>
      <c r="L7" s="17">
        <f t="shared" si="1"/>
        <v>10706</v>
      </c>
      <c r="M7" s="16">
        <f t="shared" si="1"/>
        <v>728.08081738965166</v>
      </c>
      <c r="N7" s="17">
        <f t="shared" si="1"/>
        <v>66532.39</v>
      </c>
      <c r="O7" s="16">
        <f t="shared" si="1"/>
        <v>0</v>
      </c>
      <c r="P7" s="17">
        <f t="shared" si="1"/>
        <v>0</v>
      </c>
      <c r="Q7" s="16">
        <v>1191.7685900418207</v>
      </c>
      <c r="R7" s="17">
        <f>SUM(R4:R6)</f>
        <v>119844.73</v>
      </c>
      <c r="S7" s="16">
        <f t="shared" si="1"/>
        <v>262.63995122491968</v>
      </c>
      <c r="T7" s="17">
        <f t="shared" si="1"/>
        <v>23692.750000000004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53151.13</v>
      </c>
      <c r="I8" s="20"/>
      <c r="J8" s="21">
        <v>0</v>
      </c>
      <c r="K8" s="20"/>
      <c r="L8" s="21">
        <v>10706</v>
      </c>
      <c r="M8" s="22"/>
      <c r="N8" s="21">
        <v>66532.39</v>
      </c>
      <c r="O8" s="22" t="s">
        <v>19</v>
      </c>
      <c r="P8" s="21">
        <v>0</v>
      </c>
      <c r="Q8" s="20">
        <v>0</v>
      </c>
      <c r="R8" s="21">
        <v>112572</v>
      </c>
      <c r="S8" s="20"/>
      <c r="T8" s="21">
        <v>30965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7272.7299999999959</v>
      </c>
      <c r="S9" s="23"/>
      <c r="T9" s="24">
        <f>+T7-T8</f>
        <v>-7272.2499999999964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0.47999999999592546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66627</v>
      </c>
      <c r="I13" s="41">
        <v>40115</v>
      </c>
      <c r="J13" s="32">
        <v>2349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86843</v>
      </c>
      <c r="I14" s="41">
        <v>29943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49</v>
      </c>
      <c r="B15" s="38" t="s">
        <v>13</v>
      </c>
      <c r="C15" s="31">
        <f t="shared" ref="C15:C16" si="2">+E15/D15</f>
        <v>216.71998669770539</v>
      </c>
      <c r="D15" s="32">
        <v>90.21</v>
      </c>
      <c r="E15" s="43">
        <v>19550.310000000001</v>
      </c>
      <c r="F15" s="38">
        <v>22563</v>
      </c>
      <c r="H15" s="41">
        <v>0</v>
      </c>
      <c r="I15" s="41">
        <v>48050</v>
      </c>
      <c r="J15" s="41"/>
      <c r="K15" s="42">
        <v>6154.2</v>
      </c>
      <c r="L15" s="32">
        <f>+C4</f>
        <v>104.71</v>
      </c>
      <c r="M15" s="32">
        <f>+K15/L15</f>
        <v>58.773756088243722</v>
      </c>
      <c r="P15">
        <v>38634.78</v>
      </c>
      <c r="V15">
        <f>2123+9236+3417.23+18069.1</f>
        <v>32845.33</v>
      </c>
    </row>
    <row r="16" spans="1:24">
      <c r="A16" s="38" t="s">
        <v>47</v>
      </c>
      <c r="B16" s="38" t="s">
        <v>13</v>
      </c>
      <c r="C16" s="31">
        <f t="shared" si="2"/>
        <v>45.919964527214276</v>
      </c>
      <c r="D16" s="32">
        <v>90.21</v>
      </c>
      <c r="E16" s="43">
        <v>4142.4399999999996</v>
      </c>
      <c r="F16" s="38">
        <v>22564</v>
      </c>
      <c r="H16" s="32">
        <f>+H24/C4</f>
        <v>1465.6670805080701</v>
      </c>
      <c r="I16" s="48">
        <f>+I24/C5</f>
        <v>1309.2561800243877</v>
      </c>
      <c r="J16" s="48">
        <f>+J24/C6</f>
        <v>20.824468085106382</v>
      </c>
      <c r="K16" s="42">
        <v>2221.9899999999998</v>
      </c>
      <c r="L16" s="32">
        <f>+C5</f>
        <v>90.21</v>
      </c>
      <c r="M16" s="41">
        <f>+K16/L16</f>
        <v>24.631304733399844</v>
      </c>
      <c r="P16">
        <v>68665.22</v>
      </c>
    </row>
    <row r="17" spans="1:16">
      <c r="A17" s="38" t="s">
        <v>49</v>
      </c>
      <c r="B17" s="38" t="s">
        <v>13</v>
      </c>
      <c r="C17" s="31">
        <f t="shared" ref="C17:C25" si="3">+E17/D17</f>
        <v>0</v>
      </c>
      <c r="D17" s="32">
        <v>90.21</v>
      </c>
      <c r="E17" s="43">
        <v>0</v>
      </c>
      <c r="F17" s="38"/>
      <c r="H17" s="30"/>
      <c r="K17" s="41">
        <v>10706</v>
      </c>
      <c r="L17" s="32">
        <f>+C4</f>
        <v>104.71</v>
      </c>
      <c r="M17" s="32">
        <f>+K17/L17</f>
        <v>102.24429376372839</v>
      </c>
      <c r="P17">
        <v>62847.72</v>
      </c>
    </row>
    <row r="18" spans="1:16">
      <c r="A18" s="38" t="s">
        <v>56</v>
      </c>
      <c r="B18" s="38" t="s">
        <v>13</v>
      </c>
      <c r="C18" s="31">
        <f t="shared" si="3"/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42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60378.19</v>
      </c>
      <c r="L19" s="32">
        <f>+L16</f>
        <v>90.21</v>
      </c>
      <c r="M19" s="41">
        <f>+K19/L19</f>
        <v>669.30706130140788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486.38277146404357</v>
      </c>
      <c r="L20" s="32">
        <f>+C4</f>
        <v>104.71</v>
      </c>
      <c r="M20" s="44">
        <v>50929.14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60378.19</v>
      </c>
      <c r="L21" s="32">
        <f>+L16</f>
        <v>90.21</v>
      </c>
      <c r="M21" s="41">
        <f>+K21/L21</f>
        <v>669.30706130140788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153470</v>
      </c>
      <c r="I24" s="30">
        <f t="shared" ref="I24:J24" si="5">+I13+I14+I15</f>
        <v>118108</v>
      </c>
      <c r="J24" s="30">
        <f t="shared" si="5"/>
        <v>2349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262.63995122491968</v>
      </c>
      <c r="D26" s="31"/>
      <c r="E26" s="31">
        <f>SUM(E15:E25)</f>
        <v>23692.75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262.63995122491968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ABAD-178C-4F4C-896E-9FD65C3BB9BD}">
  <dimension ref="A1:X50"/>
  <sheetViews>
    <sheetView workbookViewId="0">
      <selection activeCell="T22" sqref="T2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298.75978272918746</v>
      </c>
    </row>
    <row r="4" spans="1:24" s="4" customFormat="1">
      <c r="A4" s="5" t="s">
        <v>14</v>
      </c>
      <c r="B4" s="14">
        <f>H16</f>
        <v>1330.1881386687041</v>
      </c>
      <c r="C4" s="6">
        <v>104.71</v>
      </c>
      <c r="D4" s="7">
        <f>B4*C4</f>
        <v>139284</v>
      </c>
      <c r="E4" s="8">
        <v>0</v>
      </c>
      <c r="F4" s="9">
        <f>+E4*C4</f>
        <v>0</v>
      </c>
      <c r="G4" s="8">
        <f>+K20</f>
        <v>492.34027313532613</v>
      </c>
      <c r="H4" s="9">
        <f>+G4*C4</f>
        <v>51552.95</v>
      </c>
      <c r="I4" s="8">
        <f>J4/C4</f>
        <v>0</v>
      </c>
      <c r="J4" s="9">
        <v>0</v>
      </c>
      <c r="K4" s="10">
        <f>+M17</f>
        <v>219.76554292808711</v>
      </c>
      <c r="L4" s="9">
        <f>+K4*C4</f>
        <v>23011.65</v>
      </c>
      <c r="M4" s="11">
        <f>+M15</f>
        <v>330.27409034476176</v>
      </c>
      <c r="N4" s="9">
        <f t="shared" ref="N4:N6" si="0">+M4*C4</f>
        <v>34583</v>
      </c>
      <c r="O4" s="11"/>
      <c r="P4" s="9">
        <f>+O4*C4</f>
        <v>0</v>
      </c>
      <c r="Q4" s="8">
        <v>287.80823226052911</v>
      </c>
      <c r="R4" s="9">
        <f>+Q4*C4</f>
        <v>30136.400000000001</v>
      </c>
      <c r="S4" s="12">
        <f>+X4</f>
        <v>0</v>
      </c>
      <c r="T4" s="9">
        <f>+S4*C4</f>
        <v>0</v>
      </c>
      <c r="U4" s="13">
        <f>+B4-E4-G4-Q4-S4-K4-I4-M4-O4</f>
        <v>5.6843418860808015E-14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1468.3959649706242</v>
      </c>
      <c r="C5" s="6">
        <v>90.21</v>
      </c>
      <c r="D5" s="7">
        <f>B5*C5</f>
        <v>132464</v>
      </c>
      <c r="E5" s="8">
        <v>0</v>
      </c>
      <c r="F5" s="9">
        <f>+E5*C5</f>
        <v>0</v>
      </c>
      <c r="G5" s="8">
        <f>+M16</f>
        <v>67.189114288881498</v>
      </c>
      <c r="H5" s="9">
        <f>+G5*C5</f>
        <v>6061.1299999999992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560.01629531094113</v>
      </c>
      <c r="N5" s="9">
        <f t="shared" si="0"/>
        <v>50519.069999999992</v>
      </c>
      <c r="O5" s="11">
        <f>+P8/C5</f>
        <v>0</v>
      </c>
      <c r="P5" s="9">
        <f>+O5*C5</f>
        <v>0</v>
      </c>
      <c r="Q5" s="8">
        <v>542.43077264161411</v>
      </c>
      <c r="R5" s="9">
        <f>+Q5*C5</f>
        <v>48932.680000000008</v>
      </c>
      <c r="S5" s="12">
        <f>+X3</f>
        <v>298.75978272918746</v>
      </c>
      <c r="T5" s="9">
        <f>+S5*C5</f>
        <v>26951.119999999999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60.868794326241137</v>
      </c>
      <c r="C6" s="6">
        <v>112.8</v>
      </c>
      <c r="D6" s="7">
        <f>B6*C6</f>
        <v>6866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60.868794326241137</v>
      </c>
      <c r="R6" s="9">
        <f>+Q6*C6</f>
        <v>6866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2859.4528979655697</v>
      </c>
      <c r="C7" s="5"/>
      <c r="D7" s="15">
        <f>SUM(D4:D6)</f>
        <v>278614</v>
      </c>
      <c r="E7" s="16">
        <f>SUM(E4:E6)</f>
        <v>0</v>
      </c>
      <c r="F7" s="17">
        <f>SUM(F4:F6)</f>
        <v>0</v>
      </c>
      <c r="G7" s="16">
        <f t="shared" ref="G7:T7" si="1">SUM(G4:G6)</f>
        <v>559.52938742420758</v>
      </c>
      <c r="H7" s="17">
        <f>SUM(H4:H6)</f>
        <v>57614.079999999994</v>
      </c>
      <c r="I7" s="16">
        <f>SUM(I4:I6)</f>
        <v>0</v>
      </c>
      <c r="J7" s="17">
        <f t="shared" si="1"/>
        <v>0</v>
      </c>
      <c r="K7" s="16">
        <f t="shared" si="1"/>
        <v>219.76554292808711</v>
      </c>
      <c r="L7" s="17">
        <f t="shared" si="1"/>
        <v>23011.65</v>
      </c>
      <c r="M7" s="16">
        <f t="shared" si="1"/>
        <v>890.29038565570295</v>
      </c>
      <c r="N7" s="17">
        <f t="shared" si="1"/>
        <v>85102.069999999992</v>
      </c>
      <c r="O7" s="16">
        <f t="shared" si="1"/>
        <v>0</v>
      </c>
      <c r="P7" s="17">
        <f t="shared" si="1"/>
        <v>0</v>
      </c>
      <c r="Q7" s="16">
        <v>891.10779922838469</v>
      </c>
      <c r="R7" s="17">
        <f>SUM(R4:R6)</f>
        <v>85935.080000000016</v>
      </c>
      <c r="S7" s="16">
        <f t="shared" si="1"/>
        <v>298.75978272918746</v>
      </c>
      <c r="T7" s="17">
        <f t="shared" si="1"/>
        <v>26951.119999999999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57614.080000000002</v>
      </c>
      <c r="I8" s="20"/>
      <c r="J8" s="21">
        <v>0</v>
      </c>
      <c r="K8" s="20"/>
      <c r="L8" s="21">
        <v>23011.65</v>
      </c>
      <c r="M8" s="22"/>
      <c r="N8" s="21">
        <v>85102.07</v>
      </c>
      <c r="O8" s="22" t="s">
        <v>19</v>
      </c>
      <c r="P8" s="21">
        <v>0</v>
      </c>
      <c r="Q8" s="20"/>
      <c r="R8" s="21">
        <v>77033</v>
      </c>
      <c r="S8" s="20"/>
      <c r="T8" s="21">
        <v>35853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8902.0800000000163</v>
      </c>
      <c r="S9" s="23"/>
      <c r="T9" s="24">
        <f>+T7-T8</f>
        <v>-8901.880000000001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0.1999999999825377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69816</v>
      </c>
      <c r="I13" s="41">
        <v>56658</v>
      </c>
      <c r="J13" s="32">
        <v>6866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69468</v>
      </c>
      <c r="I14" s="41">
        <v>27347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19" si="2">+E15/D15</f>
        <v>204.09998891475448</v>
      </c>
      <c r="D15" s="32">
        <v>90.21</v>
      </c>
      <c r="E15" s="43">
        <v>18411.86</v>
      </c>
      <c r="F15" s="38">
        <v>22566</v>
      </c>
      <c r="H15" s="41">
        <v>0</v>
      </c>
      <c r="I15" s="41">
        <v>48459</v>
      </c>
      <c r="J15" s="41"/>
      <c r="K15" s="42">
        <v>34583</v>
      </c>
      <c r="L15" s="32">
        <f>+C4</f>
        <v>104.71</v>
      </c>
      <c r="M15" s="32">
        <f>+K15/L15</f>
        <v>330.27409034476176</v>
      </c>
      <c r="P15">
        <v>38634.78</v>
      </c>
      <c r="V15">
        <f>2123+9236+3417.23+18069.1</f>
        <v>32845.33</v>
      </c>
    </row>
    <row r="16" spans="1:24">
      <c r="A16" s="38" t="s">
        <v>47</v>
      </c>
      <c r="B16" s="38" t="s">
        <v>13</v>
      </c>
      <c r="C16" s="31">
        <f t="shared" si="2"/>
        <v>18.589956767542404</v>
      </c>
      <c r="D16" s="32">
        <v>90.21</v>
      </c>
      <c r="E16" s="43">
        <v>1677</v>
      </c>
      <c r="F16" s="38">
        <v>22567</v>
      </c>
      <c r="H16" s="32">
        <f>+H24/C4</f>
        <v>1330.1881386687041</v>
      </c>
      <c r="I16" s="48">
        <f>+I24/C5</f>
        <v>1468.3959649706242</v>
      </c>
      <c r="J16" s="48">
        <f>+J24/C6</f>
        <v>60.868794326241137</v>
      </c>
      <c r="K16" s="42">
        <v>6061.13</v>
      </c>
      <c r="L16" s="32">
        <f>+C5</f>
        <v>90.21</v>
      </c>
      <c r="M16" s="41">
        <f>+K16/L16</f>
        <v>67.189114288881498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16.649927945904004</v>
      </c>
      <c r="D17" s="32">
        <v>90.21</v>
      </c>
      <c r="E17" s="43">
        <v>1501.99</v>
      </c>
      <c r="F17" s="38">
        <v>22568</v>
      </c>
      <c r="H17" s="30"/>
      <c r="K17" s="41">
        <v>23011.65</v>
      </c>
      <c r="L17" s="32">
        <f>+C4</f>
        <v>104.71</v>
      </c>
      <c r="M17" s="32">
        <f>+K17/L17</f>
        <v>219.76554292808711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2"/>
        <v>38.799911318035697</v>
      </c>
      <c r="D18" s="32">
        <v>90.21</v>
      </c>
      <c r="E18" s="43">
        <v>3500.14</v>
      </c>
      <c r="F18" s="38">
        <v>22563</v>
      </c>
      <c r="P18">
        <v>199</v>
      </c>
    </row>
    <row r="19" spans="1:16">
      <c r="A19" s="38" t="s">
        <v>49</v>
      </c>
      <c r="B19" s="38" t="s">
        <v>13</v>
      </c>
      <c r="C19" s="31">
        <f t="shared" si="2"/>
        <v>20.619997782950897</v>
      </c>
      <c r="D19" s="32">
        <v>90.21</v>
      </c>
      <c r="E19" s="43">
        <v>1860.13</v>
      </c>
      <c r="F19" s="38">
        <v>22570</v>
      </c>
      <c r="H19">
        <f>179130.55+24221.9</f>
        <v>203352.44999999998</v>
      </c>
      <c r="K19" s="47">
        <v>50519.07</v>
      </c>
      <c r="L19" s="32">
        <f>+L16</f>
        <v>90.21</v>
      </c>
      <c r="M19" s="41">
        <f>+K19/L19</f>
        <v>560.01629531094113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492.34027313532613</v>
      </c>
      <c r="L20" s="32">
        <f>+C4</f>
        <v>104.71</v>
      </c>
      <c r="M20" s="44">
        <v>51552.95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50519.070000000007</v>
      </c>
      <c r="L21" s="32">
        <f>+L16</f>
        <v>90.21</v>
      </c>
      <c r="M21" s="41">
        <f>+K21/L21</f>
        <v>560.01629531094125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139284</v>
      </c>
      <c r="I24" s="30">
        <f t="shared" ref="I24:J24" si="5">+I13+I14+I15</f>
        <v>132464</v>
      </c>
      <c r="J24" s="30">
        <f t="shared" si="5"/>
        <v>6866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298.75978272918746</v>
      </c>
      <c r="D26" s="31"/>
      <c r="E26" s="31">
        <f>SUM(E15:E25)</f>
        <v>26951.120000000003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222.68994568229687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AD72-1B6E-4701-B7C5-68A14B8E1AFD}">
  <dimension ref="A1:X50"/>
  <sheetViews>
    <sheetView workbookViewId="0">
      <selection activeCell="T16" sqref="T1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758.24875290987711</v>
      </c>
    </row>
    <row r="4" spans="1:24" s="4" customFormat="1">
      <c r="A4" s="5" t="s">
        <v>14</v>
      </c>
      <c r="B4" s="14">
        <f>H16</f>
        <v>1738.7355553433292</v>
      </c>
      <c r="C4" s="6">
        <v>104.71</v>
      </c>
      <c r="D4" s="7">
        <f>B4*C4</f>
        <v>182063</v>
      </c>
      <c r="E4" s="8">
        <v>0</v>
      </c>
      <c r="F4" s="9">
        <f>+E4*C4</f>
        <v>0</v>
      </c>
      <c r="G4" s="8">
        <f>+K20</f>
        <v>497.33568904593642</v>
      </c>
      <c r="H4" s="9">
        <f>+G4*C4</f>
        <v>52076.02</v>
      </c>
      <c r="I4" s="8">
        <f>J4/C4</f>
        <v>0</v>
      </c>
      <c r="J4" s="9">
        <v>0</v>
      </c>
      <c r="K4" s="10">
        <f>+M17</f>
        <v>183.58141533759911</v>
      </c>
      <c r="L4" s="9">
        <f>+K4*C4</f>
        <v>19222.810000000001</v>
      </c>
      <c r="M4" s="11">
        <f>+M15</f>
        <v>6.0306560977939077</v>
      </c>
      <c r="N4" s="9">
        <f t="shared" ref="N4:N6" si="0">+M4*C4</f>
        <v>631.47</v>
      </c>
      <c r="O4" s="11"/>
      <c r="P4" s="9">
        <f>+O4*C4</f>
        <v>0</v>
      </c>
      <c r="Q4" s="8">
        <v>1051.7877948619996</v>
      </c>
      <c r="R4" s="9">
        <f>+Q4*C4</f>
        <v>110132.69999999997</v>
      </c>
      <c r="S4" s="12">
        <f>+X4</f>
        <v>0</v>
      </c>
      <c r="T4" s="9">
        <f>+S4*C4</f>
        <v>0</v>
      </c>
      <c r="U4" s="13">
        <f>+B4-E4-G4-Q4-S4-K4-I4-M4-O4</f>
        <v>7.1942451995710144E-14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2232.4908546724309</v>
      </c>
      <c r="C5" s="6">
        <v>90.21</v>
      </c>
      <c r="D5" s="7">
        <f>B5*C5</f>
        <v>201392.99999999997</v>
      </c>
      <c r="E5" s="8">
        <v>0</v>
      </c>
      <c r="F5" s="9">
        <f>+E5*C5</f>
        <v>0</v>
      </c>
      <c r="G5" s="8">
        <f>+M16</f>
        <v>74.070834718989033</v>
      </c>
      <c r="H5" s="9">
        <f>+G5*C5</f>
        <v>6681.93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779.23456379558809</v>
      </c>
      <c r="N5" s="9">
        <f t="shared" si="0"/>
        <v>70294.75</v>
      </c>
      <c r="O5" s="11">
        <f>+P8/C5</f>
        <v>0</v>
      </c>
      <c r="P5" s="9">
        <f>+O5*C5</f>
        <v>0</v>
      </c>
      <c r="Q5" s="8">
        <v>620.93670324797688</v>
      </c>
      <c r="R5" s="9">
        <f>+Q5*C5</f>
        <v>56014.69999999999</v>
      </c>
      <c r="S5" s="12">
        <f>+X3</f>
        <v>758.24875290987711</v>
      </c>
      <c r="T5" s="9">
        <f>+S5*C5</f>
        <v>68401.62000000001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22.686170212765958</v>
      </c>
      <c r="C6" s="6">
        <v>112.8</v>
      </c>
      <c r="D6" s="7">
        <f>B6*C6</f>
        <v>2559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22.686170212765958</v>
      </c>
      <c r="R6" s="9">
        <f>+Q6*C6</f>
        <v>2559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3993.9125802285257</v>
      </c>
      <c r="C7" s="5"/>
      <c r="D7" s="15">
        <f>SUM(D4:D6)</f>
        <v>386015</v>
      </c>
      <c r="E7" s="16">
        <f>SUM(E4:E6)</f>
        <v>0</v>
      </c>
      <c r="F7" s="17">
        <f>SUM(F4:F6)</f>
        <v>0</v>
      </c>
      <c r="G7" s="16">
        <f t="shared" ref="G7:T7" si="1">SUM(G4:G6)</f>
        <v>571.4065237649254</v>
      </c>
      <c r="H7" s="17">
        <f>SUM(H4:H6)</f>
        <v>58757.95</v>
      </c>
      <c r="I7" s="16">
        <f>SUM(I4:I6)</f>
        <v>0</v>
      </c>
      <c r="J7" s="17">
        <f t="shared" si="1"/>
        <v>0</v>
      </c>
      <c r="K7" s="16">
        <f t="shared" si="1"/>
        <v>183.58141533759911</v>
      </c>
      <c r="L7" s="17">
        <f t="shared" si="1"/>
        <v>19222.810000000001</v>
      </c>
      <c r="M7" s="16">
        <f t="shared" si="1"/>
        <v>785.26521989338198</v>
      </c>
      <c r="N7" s="17">
        <f t="shared" si="1"/>
        <v>70926.22</v>
      </c>
      <c r="O7" s="16">
        <f t="shared" si="1"/>
        <v>0</v>
      </c>
      <c r="P7" s="17">
        <f t="shared" si="1"/>
        <v>0</v>
      </c>
      <c r="Q7" s="16">
        <v>1695.4106683227424</v>
      </c>
      <c r="R7" s="17">
        <f>SUM(R4:R6)</f>
        <v>168706.39999999997</v>
      </c>
      <c r="S7" s="16">
        <f t="shared" si="1"/>
        <v>758.24875290987711</v>
      </c>
      <c r="T7" s="17">
        <f t="shared" si="1"/>
        <v>68401.62000000001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58757.95</v>
      </c>
      <c r="I8" s="20"/>
      <c r="J8" s="21">
        <v>0</v>
      </c>
      <c r="K8" s="20"/>
      <c r="L8" s="21">
        <v>19222.810000000001</v>
      </c>
      <c r="M8" s="22"/>
      <c r="N8" s="21">
        <v>70926.22</v>
      </c>
      <c r="O8" s="22" t="s">
        <v>19</v>
      </c>
      <c r="P8" s="21">
        <v>0</v>
      </c>
      <c r="Q8" s="20"/>
      <c r="R8" s="21">
        <v>159325</v>
      </c>
      <c r="S8" s="20"/>
      <c r="T8" s="21">
        <v>77783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9381.3999999999651</v>
      </c>
      <c r="S9" s="23"/>
      <c r="T9" s="24">
        <f>+T7-T8</f>
        <v>-9381.3799999999901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1.9999999989522621E-2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70611</v>
      </c>
      <c r="I13" s="41">
        <v>85793</v>
      </c>
      <c r="J13" s="32">
        <v>2559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111452</v>
      </c>
      <c r="I14" s="41">
        <v>54927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42</v>
      </c>
      <c r="B15" s="38" t="s">
        <v>13</v>
      </c>
      <c r="C15" s="31">
        <f t="shared" ref="C15:C18" si="2">+E15/D15</f>
        <v>199.53441968739608</v>
      </c>
      <c r="D15" s="32">
        <v>90.21</v>
      </c>
      <c r="E15" s="43">
        <v>18000</v>
      </c>
      <c r="F15" s="38">
        <v>22572</v>
      </c>
      <c r="H15" s="41">
        <v>0</v>
      </c>
      <c r="I15" s="41">
        <v>60673</v>
      </c>
      <c r="J15" s="41"/>
      <c r="K15" s="42">
        <v>631.47</v>
      </c>
      <c r="L15" s="32">
        <f>+C4</f>
        <v>104.71</v>
      </c>
      <c r="M15" s="32">
        <f>+K15/L15</f>
        <v>6.0306560977939077</v>
      </c>
      <c r="P15">
        <v>38634.78</v>
      </c>
      <c r="V15">
        <f>2123+9236+3417.23+18069.1</f>
        <v>32845.33</v>
      </c>
    </row>
    <row r="16" spans="1:24">
      <c r="A16" s="38" t="s">
        <v>49</v>
      </c>
      <c r="B16" s="38" t="s">
        <v>13</v>
      </c>
      <c r="C16" s="31">
        <f t="shared" si="2"/>
        <v>182.90998780622994</v>
      </c>
      <c r="D16" s="32">
        <v>90.21</v>
      </c>
      <c r="E16" s="43">
        <v>16500.310000000001</v>
      </c>
      <c r="F16" s="38">
        <v>22573</v>
      </c>
      <c r="H16" s="32">
        <f>+H24/C4</f>
        <v>1738.7355553433292</v>
      </c>
      <c r="I16" s="48">
        <f>+I24/C5</f>
        <v>2232.4908546724309</v>
      </c>
      <c r="J16" s="48">
        <f>+J24/C6</f>
        <v>22.686170212765958</v>
      </c>
      <c r="K16" s="42">
        <v>6681.93</v>
      </c>
      <c r="L16" s="32">
        <f>+C5</f>
        <v>90.21</v>
      </c>
      <c r="M16" s="41">
        <f>+K16/L16</f>
        <v>74.070834718989033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330.34996120164061</v>
      </c>
      <c r="D17" s="32">
        <v>90.21</v>
      </c>
      <c r="E17" s="43">
        <v>29800.87</v>
      </c>
      <c r="F17" s="38">
        <v>22574</v>
      </c>
      <c r="H17" s="30"/>
      <c r="K17" s="41">
        <v>19222.810000000001</v>
      </c>
      <c r="L17" s="32">
        <f>+C4</f>
        <v>104.71</v>
      </c>
      <c r="M17" s="32">
        <f>+K17/L17</f>
        <v>183.58141533759911</v>
      </c>
      <c r="P17">
        <v>62847.72</v>
      </c>
    </row>
    <row r="18" spans="1:16">
      <c r="A18" s="38" t="s">
        <v>45</v>
      </c>
      <c r="B18" s="38" t="s">
        <v>13</v>
      </c>
      <c r="C18" s="31">
        <f t="shared" si="2"/>
        <v>45.45438421461035</v>
      </c>
      <c r="D18" s="32">
        <v>90.21</v>
      </c>
      <c r="E18" s="43">
        <v>4100.4399999999996</v>
      </c>
      <c r="F18" s="38">
        <v>22576</v>
      </c>
      <c r="P18">
        <v>199</v>
      </c>
    </row>
    <row r="19" spans="1:16">
      <c r="A19" s="38" t="s">
        <v>49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70294.75</v>
      </c>
      <c r="L19" s="32">
        <f>+L16</f>
        <v>90.21</v>
      </c>
      <c r="M19" s="41">
        <f>+K19/L19</f>
        <v>779.23456379558809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497.33568904593642</v>
      </c>
      <c r="L20" s="32">
        <f>+C4</f>
        <v>104.71</v>
      </c>
      <c r="M20" s="44">
        <v>52076.02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70294.75</v>
      </c>
      <c r="L21" s="32">
        <f>+L16</f>
        <v>90.21</v>
      </c>
      <c r="M21" s="41">
        <f>+K21/L21</f>
        <v>779.23456379558809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182063</v>
      </c>
      <c r="I24" s="30">
        <f t="shared" ref="I24:J24" si="5">+I13+I14+I15</f>
        <v>201393</v>
      </c>
      <c r="J24" s="30">
        <f t="shared" si="5"/>
        <v>2559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758.24875290987711</v>
      </c>
      <c r="D26" s="31"/>
      <c r="E26" s="31">
        <f>SUM(E15:E25)</f>
        <v>68401.62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382.44440749362604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0AE8-16F7-4A8C-A25B-99F60AB5B2F4}">
  <dimension ref="A1:X50"/>
  <sheetViews>
    <sheetView workbookViewId="0">
      <selection activeCell="S16" sqref="S1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508.26316372907667</v>
      </c>
    </row>
    <row r="4" spans="1:24" s="4" customFormat="1">
      <c r="A4" s="5" t="s">
        <v>14</v>
      </c>
      <c r="B4" s="14">
        <f>H16</f>
        <v>1896.2658771846052</v>
      </c>
      <c r="C4" s="6">
        <v>104.71</v>
      </c>
      <c r="D4" s="7">
        <f>B4*C4</f>
        <v>198558</v>
      </c>
      <c r="E4" s="8">
        <v>0</v>
      </c>
      <c r="F4" s="9">
        <f>+E4*C4</f>
        <v>0</v>
      </c>
      <c r="G4" s="8">
        <f>+K20</f>
        <v>653.32833540254035</v>
      </c>
      <c r="H4" s="9">
        <f>+G4*C4</f>
        <v>68410.009999999995</v>
      </c>
      <c r="I4" s="8">
        <f>J4/C4</f>
        <v>0</v>
      </c>
      <c r="J4" s="9">
        <v>0</v>
      </c>
      <c r="K4" s="10">
        <f>+M17</f>
        <v>35.373889790850924</v>
      </c>
      <c r="L4" s="9">
        <f>+K4*C4</f>
        <v>3704</v>
      </c>
      <c r="M4" s="11">
        <f>+M15</f>
        <v>63.564129500525269</v>
      </c>
      <c r="N4" s="9">
        <f t="shared" ref="N4:N6" si="0">+M4*C4</f>
        <v>6655.8</v>
      </c>
      <c r="O4" s="11"/>
      <c r="P4" s="9">
        <f>+O4*C4</f>
        <v>0</v>
      </c>
      <c r="Q4" s="8">
        <v>1143.9995224906886</v>
      </c>
      <c r="R4" s="9">
        <f>+Q4*C4</f>
        <v>119788.19</v>
      </c>
      <c r="S4" s="12">
        <f>+X4</f>
        <v>0</v>
      </c>
      <c r="T4" s="9">
        <f>+S4*C4</f>
        <v>0</v>
      </c>
      <c r="U4" s="13">
        <f>+B4-E4-G4-Q4-S4-K4-I4-M4-O4</f>
        <v>-7.1054273576010019E-14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1717.0934486198871</v>
      </c>
      <c r="C5" s="6">
        <v>90.21</v>
      </c>
      <c r="D5" s="7">
        <f>B5*C5</f>
        <v>154899</v>
      </c>
      <c r="E5" s="8">
        <v>0</v>
      </c>
      <c r="F5" s="9">
        <f>+E5*C5</f>
        <v>0</v>
      </c>
      <c r="G5" s="8">
        <f>+M16</f>
        <v>101.77519122048554</v>
      </c>
      <c r="H5" s="9">
        <f>+G5*C5</f>
        <v>9181.14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777.13191442190453</v>
      </c>
      <c r="N5" s="9">
        <f t="shared" si="0"/>
        <v>70105.070000000007</v>
      </c>
      <c r="O5" s="11">
        <f>+P8/C5</f>
        <v>0</v>
      </c>
      <c r="P5" s="9">
        <f>+O5*C5</f>
        <v>0</v>
      </c>
      <c r="Q5" s="8">
        <v>329.9231792484203</v>
      </c>
      <c r="R5" s="9">
        <f>+Q5*C5</f>
        <v>29762.369999999992</v>
      </c>
      <c r="S5" s="12">
        <f>+X3</f>
        <v>508.26316372907667</v>
      </c>
      <c r="T5" s="9">
        <f>+S5*C5</f>
        <v>45850.420000000006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55.363475177304963</v>
      </c>
      <c r="C6" s="6">
        <v>112.8</v>
      </c>
      <c r="D6" s="7">
        <f>B6*C6</f>
        <v>6245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55.363475177304963</v>
      </c>
      <c r="R6" s="9">
        <f>+Q6*C6</f>
        <v>6245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3668.7228009817973</v>
      </c>
      <c r="C7" s="5"/>
      <c r="D7" s="15">
        <f>SUM(D4:D6)</f>
        <v>359702</v>
      </c>
      <c r="E7" s="16">
        <f>SUM(E4:E6)</f>
        <v>0</v>
      </c>
      <c r="F7" s="17">
        <f>SUM(F4:F6)</f>
        <v>0</v>
      </c>
      <c r="G7" s="16">
        <f t="shared" ref="G7:T7" si="1">SUM(G4:G6)</f>
        <v>755.10352662302591</v>
      </c>
      <c r="H7" s="17">
        <f>SUM(H4:H6)</f>
        <v>77591.149999999994</v>
      </c>
      <c r="I7" s="16">
        <f>SUM(I4:I6)</f>
        <v>0</v>
      </c>
      <c r="J7" s="17">
        <f t="shared" si="1"/>
        <v>0</v>
      </c>
      <c r="K7" s="16">
        <f t="shared" si="1"/>
        <v>35.373889790850924</v>
      </c>
      <c r="L7" s="17">
        <f t="shared" si="1"/>
        <v>3704</v>
      </c>
      <c r="M7" s="16">
        <f t="shared" si="1"/>
        <v>840.69604392242979</v>
      </c>
      <c r="N7" s="17">
        <f t="shared" si="1"/>
        <v>76760.87000000001</v>
      </c>
      <c r="O7" s="16">
        <f t="shared" si="1"/>
        <v>0</v>
      </c>
      <c r="P7" s="17">
        <f t="shared" si="1"/>
        <v>0</v>
      </c>
      <c r="Q7" s="16">
        <v>1529.2861769164138</v>
      </c>
      <c r="R7" s="17">
        <f>SUM(R4:R6)</f>
        <v>155795.56</v>
      </c>
      <c r="S7" s="16">
        <f t="shared" si="1"/>
        <v>508.26316372907667</v>
      </c>
      <c r="T7" s="17">
        <f t="shared" si="1"/>
        <v>45850.420000000006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77591.149999999994</v>
      </c>
      <c r="I8" s="20"/>
      <c r="J8" s="21">
        <v>0</v>
      </c>
      <c r="K8" s="20"/>
      <c r="L8" s="21">
        <v>3704</v>
      </c>
      <c r="M8" s="22"/>
      <c r="N8" s="21">
        <v>76760.87</v>
      </c>
      <c r="O8" s="22" t="s">
        <v>19</v>
      </c>
      <c r="P8" s="21">
        <v>0</v>
      </c>
      <c r="Q8" s="20"/>
      <c r="R8" s="21">
        <v>144345</v>
      </c>
      <c r="S8" s="20"/>
      <c r="T8" s="21">
        <v>57300.42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11450.559999999998</v>
      </c>
      <c r="S9" s="23"/>
      <c r="T9" s="24">
        <f>+T7-T8</f>
        <v>-11449.999999999993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0.55999999998311978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93731</v>
      </c>
      <c r="I13" s="41">
        <v>52665</v>
      </c>
      <c r="J13" s="32">
        <v>6245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104827</v>
      </c>
      <c r="I14" s="41">
        <v>50016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19" si="2">+E15/D15</f>
        <v>208.35993792262502</v>
      </c>
      <c r="D15" s="32">
        <v>90.21</v>
      </c>
      <c r="E15" s="43">
        <v>18796.150000000001</v>
      </c>
      <c r="F15" s="38">
        <v>22577</v>
      </c>
      <c r="H15" s="41">
        <v>0</v>
      </c>
      <c r="I15" s="41">
        <v>52218</v>
      </c>
      <c r="J15" s="41"/>
      <c r="K15" s="42">
        <v>6655.8</v>
      </c>
      <c r="L15" s="32">
        <f>+C4</f>
        <v>104.71</v>
      </c>
      <c r="M15" s="32">
        <f>+K15/L15</f>
        <v>63.564129500525269</v>
      </c>
      <c r="P15">
        <v>38634.78</v>
      </c>
      <c r="V15">
        <f>2123+9236+3417.23+18069.1</f>
        <v>32845.33</v>
      </c>
    </row>
    <row r="16" spans="1:24">
      <c r="A16" s="38" t="s">
        <v>42</v>
      </c>
      <c r="B16" s="38" t="s">
        <v>13</v>
      </c>
      <c r="C16" s="31">
        <f t="shared" si="2"/>
        <v>19.953441968739607</v>
      </c>
      <c r="D16" s="32">
        <v>90.21</v>
      </c>
      <c r="E16" s="43">
        <v>1800</v>
      </c>
      <c r="F16" s="38">
        <v>22578</v>
      </c>
      <c r="H16" s="32">
        <f>+H24/C4</f>
        <v>1896.2658771846052</v>
      </c>
      <c r="I16" s="48">
        <f>+I24/C5</f>
        <v>1717.0934486198871</v>
      </c>
      <c r="J16" s="48">
        <f>+J24/C6</f>
        <v>55.363475177304963</v>
      </c>
      <c r="K16" s="42">
        <v>9181.14</v>
      </c>
      <c r="L16" s="32">
        <f>+C5</f>
        <v>90.21</v>
      </c>
      <c r="M16" s="41">
        <f>+K16/L16</f>
        <v>101.77519122048554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134.57998004655803</v>
      </c>
      <c r="D17" s="32">
        <v>90.21</v>
      </c>
      <c r="E17" s="43">
        <v>12140.46</v>
      </c>
      <c r="F17" s="38">
        <v>22579</v>
      </c>
      <c r="H17" s="30"/>
      <c r="K17" s="41">
        <v>3704</v>
      </c>
      <c r="L17" s="32">
        <f>+C4</f>
        <v>104.71</v>
      </c>
      <c r="M17" s="32">
        <f>+K17/L17</f>
        <v>35.373889790850924</v>
      </c>
      <c r="P17">
        <v>62847.72</v>
      </c>
    </row>
    <row r="18" spans="1:16">
      <c r="A18" s="38" t="s">
        <v>52</v>
      </c>
      <c r="B18" s="38" t="s">
        <v>13</v>
      </c>
      <c r="C18" s="31">
        <f t="shared" si="2"/>
        <v>110.84990577541294</v>
      </c>
      <c r="D18" s="32">
        <v>90.21</v>
      </c>
      <c r="E18" s="43">
        <v>9999.77</v>
      </c>
      <c r="F18" s="38">
        <v>22580</v>
      </c>
      <c r="P18">
        <v>199</v>
      </c>
    </row>
    <row r="19" spans="1:16">
      <c r="A19" s="38" t="s">
        <v>47</v>
      </c>
      <c r="B19" s="38" t="s">
        <v>13</v>
      </c>
      <c r="C19" s="31">
        <f t="shared" si="2"/>
        <v>34.519898015741049</v>
      </c>
      <c r="D19" s="32">
        <v>90.21</v>
      </c>
      <c r="E19" s="43">
        <v>3114.04</v>
      </c>
      <c r="F19" s="38">
        <v>22581</v>
      </c>
      <c r="H19">
        <f>179130.55+24221.9</f>
        <v>203352.44999999998</v>
      </c>
      <c r="K19" s="47">
        <v>70105.070000000007</v>
      </c>
      <c r="L19" s="32">
        <f>+L16</f>
        <v>90.21</v>
      </c>
      <c r="M19" s="41">
        <f>+K19/L19</f>
        <v>777.13191442190453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653.32833540254035</v>
      </c>
      <c r="L20" s="32">
        <f>+C4</f>
        <v>104.71</v>
      </c>
      <c r="M20" s="44">
        <v>68410.009999999995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70105.069999999992</v>
      </c>
      <c r="L21" s="32">
        <f>+L16</f>
        <v>90.21</v>
      </c>
      <c r="M21" s="41">
        <f>+K21/L21</f>
        <v>777.13191442190441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198558</v>
      </c>
      <c r="I24" s="30">
        <f t="shared" ref="I24:J24" si="5">+I13+I14+I15</f>
        <v>154899</v>
      </c>
      <c r="J24" s="30">
        <f t="shared" si="5"/>
        <v>6245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508.26316372907667</v>
      </c>
      <c r="D26" s="31"/>
      <c r="E26" s="31">
        <f>SUM(E15:E25)</f>
        <v>45850.420000000006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228.31337989136463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1ACA-E02B-4969-A7C1-5EC1A3495AEB}">
  <dimension ref="A1:X50"/>
  <sheetViews>
    <sheetView workbookViewId="0">
      <selection activeCell="Q4" sqref="Q4:Q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248.36403946347409</v>
      </c>
    </row>
    <row r="4" spans="1:24" s="4" customFormat="1">
      <c r="A4" s="5" t="s">
        <v>14</v>
      </c>
      <c r="B4" s="14">
        <f>H16</f>
        <v>1434.8104288033617</v>
      </c>
      <c r="C4" s="6">
        <v>104.71</v>
      </c>
      <c r="D4" s="7">
        <f>B4*C4</f>
        <v>150239</v>
      </c>
      <c r="E4" s="8">
        <v>0</v>
      </c>
      <c r="F4" s="9">
        <f>+E4*C4</f>
        <v>0</v>
      </c>
      <c r="G4" s="8">
        <f>+K20</f>
        <v>584.73460032470632</v>
      </c>
      <c r="H4" s="9">
        <f>+G4*C4</f>
        <v>61227.56</v>
      </c>
      <c r="I4" s="8">
        <f>J4/C4</f>
        <v>0</v>
      </c>
      <c r="J4" s="9">
        <v>0</v>
      </c>
      <c r="K4" s="10">
        <f>+M17</f>
        <v>23.197402349345815</v>
      </c>
      <c r="L4" s="9">
        <f>+K4*C4</f>
        <v>2429</v>
      </c>
      <c r="M4" s="11">
        <f>+M15</f>
        <v>27.886543787603859</v>
      </c>
      <c r="N4" s="9">
        <f t="shared" ref="N4:N6" si="0">+M4*C4</f>
        <v>2920</v>
      </c>
      <c r="O4" s="11"/>
      <c r="P4" s="9">
        <f>+O4*C4</f>
        <v>0</v>
      </c>
      <c r="Q4" s="8">
        <v>798.99188234170572</v>
      </c>
      <c r="R4" s="9">
        <f>+Q4*C4</f>
        <v>83662.44</v>
      </c>
      <c r="S4" s="12">
        <f>+X4</f>
        <v>0</v>
      </c>
      <c r="T4" s="9">
        <f>+S4*C4</f>
        <v>0</v>
      </c>
      <c r="U4" s="13">
        <f>+B4-E4-G4-Q4-S4-K4-I4-M4-O4</f>
        <v>-3.907985046680551E-14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1206.6733178139896</v>
      </c>
      <c r="C5" s="6">
        <v>90.21</v>
      </c>
      <c r="D5" s="7">
        <f>B5*C5</f>
        <v>108853.99999999999</v>
      </c>
      <c r="E5" s="8">
        <v>0</v>
      </c>
      <c r="F5" s="9">
        <f>+E5*C5</f>
        <v>0</v>
      </c>
      <c r="G5" s="8">
        <f>+M16</f>
        <v>44.750914532756902</v>
      </c>
      <c r="H5" s="9">
        <f>+G5*C5</f>
        <v>4036.98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758.38033477441536</v>
      </c>
      <c r="N5" s="9">
        <f t="shared" si="0"/>
        <v>68413.490000000005</v>
      </c>
      <c r="O5" s="11">
        <f>+P8/C5</f>
        <v>0</v>
      </c>
      <c r="P5" s="9">
        <f>+O5*C5</f>
        <v>0</v>
      </c>
      <c r="Q5" s="8">
        <v>155.17802904334314</v>
      </c>
      <c r="R5" s="9">
        <f>+Q5*C5</f>
        <v>13998.609999999984</v>
      </c>
      <c r="S5" s="12">
        <f>+X3</f>
        <v>248.36403946347409</v>
      </c>
      <c r="T5" s="9">
        <f>+S5*C5</f>
        <v>22404.919999999995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65</v>
      </c>
      <c r="C6" s="6">
        <v>112.8</v>
      </c>
      <c r="D6" s="7">
        <f>B6*C6</f>
        <v>7332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65</v>
      </c>
      <c r="R6" s="9">
        <f>+Q6*C6</f>
        <v>7332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2706.4837466173512</v>
      </c>
      <c r="C7" s="5"/>
      <c r="D7" s="15">
        <f>SUM(D4:D6)</f>
        <v>266425</v>
      </c>
      <c r="E7" s="16">
        <f>SUM(E4:E6)</f>
        <v>0</v>
      </c>
      <c r="F7" s="17">
        <f>SUM(F4:F6)</f>
        <v>0</v>
      </c>
      <c r="G7" s="16">
        <f t="shared" ref="G7:T7" si="1">SUM(G4:G6)</f>
        <v>629.48551485746327</v>
      </c>
      <c r="H7" s="17">
        <f>SUM(H4:H6)</f>
        <v>65264.54</v>
      </c>
      <c r="I7" s="16">
        <f>SUM(I4:I6)</f>
        <v>0</v>
      </c>
      <c r="J7" s="17">
        <f t="shared" si="1"/>
        <v>0</v>
      </c>
      <c r="K7" s="16">
        <f t="shared" si="1"/>
        <v>23.197402349345815</v>
      </c>
      <c r="L7" s="17">
        <f t="shared" si="1"/>
        <v>2429</v>
      </c>
      <c r="M7" s="16">
        <f t="shared" si="1"/>
        <v>786.2668785620192</v>
      </c>
      <c r="N7" s="17">
        <f t="shared" si="1"/>
        <v>71333.490000000005</v>
      </c>
      <c r="O7" s="16">
        <f t="shared" si="1"/>
        <v>0</v>
      </c>
      <c r="P7" s="17">
        <f t="shared" si="1"/>
        <v>0</v>
      </c>
      <c r="Q7" s="16">
        <v>1019.1699113850489</v>
      </c>
      <c r="R7" s="17">
        <f>SUM(R4:R6)</f>
        <v>104993.04999999999</v>
      </c>
      <c r="S7" s="16">
        <f t="shared" si="1"/>
        <v>248.36403946347409</v>
      </c>
      <c r="T7" s="17">
        <f t="shared" si="1"/>
        <v>22404.919999999995</v>
      </c>
      <c r="U7" s="13">
        <f>+B7-E7-G7-Q7-S7-K7-I7-M7-O7</f>
        <v>-1.1368683772161603E-13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65264.54</v>
      </c>
      <c r="I8" s="20"/>
      <c r="J8" s="21">
        <v>0</v>
      </c>
      <c r="K8" s="20"/>
      <c r="L8" s="21">
        <v>2429</v>
      </c>
      <c r="M8" s="22"/>
      <c r="N8" s="21">
        <v>71333.490000000005</v>
      </c>
      <c r="O8" s="22" t="s">
        <v>19</v>
      </c>
      <c r="P8" s="21">
        <v>0</v>
      </c>
      <c r="Q8" s="20"/>
      <c r="R8" s="21">
        <v>102952</v>
      </c>
      <c r="S8" s="20"/>
      <c r="T8" s="21">
        <v>24445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2041.0499999999884</v>
      </c>
      <c r="S9" s="23"/>
      <c r="T9" s="24">
        <f>+T7-T8</f>
        <v>-2040.0800000000054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0.96999999998661224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78458</v>
      </c>
      <c r="I13" s="41">
        <v>30547</v>
      </c>
      <c r="J13" s="32">
        <v>7332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71781</v>
      </c>
      <c r="I14" s="41">
        <v>29473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56</v>
      </c>
      <c r="B15" s="38" t="s">
        <v>13</v>
      </c>
      <c r="C15" s="31">
        <f t="shared" ref="C15:C18" si="2">+E15/D15</f>
        <v>35.34430772641614</v>
      </c>
      <c r="D15" s="32">
        <v>90.21</v>
      </c>
      <c r="E15" s="43">
        <v>3188.41</v>
      </c>
      <c r="F15" s="38">
        <v>22582</v>
      </c>
      <c r="H15" s="41">
        <v>0</v>
      </c>
      <c r="I15" s="41">
        <v>48834</v>
      </c>
      <c r="J15" s="41"/>
      <c r="K15" s="42">
        <v>2920</v>
      </c>
      <c r="L15" s="32">
        <f>+C4</f>
        <v>104.71</v>
      </c>
      <c r="M15" s="32">
        <f>+K15/L15</f>
        <v>27.886543787603859</v>
      </c>
      <c r="P15">
        <v>38634.78</v>
      </c>
      <c r="V15">
        <f>2123+9236+3417.23+18069.1</f>
        <v>32845.33</v>
      </c>
    </row>
    <row r="16" spans="1:24">
      <c r="A16" s="38" t="s">
        <v>48</v>
      </c>
      <c r="B16" s="38" t="s">
        <v>13</v>
      </c>
      <c r="C16" s="31">
        <f t="shared" si="2"/>
        <v>142.69992240328122</v>
      </c>
      <c r="D16" s="32">
        <v>90.21</v>
      </c>
      <c r="E16" s="43">
        <v>12872.96</v>
      </c>
      <c r="F16" s="38">
        <v>22583</v>
      </c>
      <c r="H16" s="32">
        <f>+H24/C4</f>
        <v>1434.8104288033617</v>
      </c>
      <c r="I16" s="48">
        <f>+I24/C5</f>
        <v>1206.6733178139896</v>
      </c>
      <c r="J16" s="48">
        <f>+J24/C6</f>
        <v>65</v>
      </c>
      <c r="K16" s="42">
        <v>4036.98</v>
      </c>
      <c r="L16" s="32">
        <f>+C5</f>
        <v>90.21</v>
      </c>
      <c r="M16" s="41">
        <f>+K16/L16</f>
        <v>44.750914532756902</v>
      </c>
      <c r="P16">
        <v>68665.22</v>
      </c>
    </row>
    <row r="17" spans="1:16">
      <c r="A17" s="38" t="s">
        <v>47</v>
      </c>
      <c r="B17" s="38" t="s">
        <v>13</v>
      </c>
      <c r="C17" s="31">
        <f t="shared" si="2"/>
        <v>21.989912426560249</v>
      </c>
      <c r="D17" s="32">
        <v>90.21</v>
      </c>
      <c r="E17" s="43">
        <v>1983.71</v>
      </c>
      <c r="F17" s="38">
        <v>22584</v>
      </c>
      <c r="H17" s="30"/>
      <c r="K17" s="41">
        <v>2429</v>
      </c>
      <c r="L17" s="32">
        <f>+C4</f>
        <v>104.71</v>
      </c>
      <c r="M17" s="32">
        <f>+K17/L17</f>
        <v>23.197402349345815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2"/>
        <v>48.329896907216501</v>
      </c>
      <c r="D18" s="32">
        <v>90.21</v>
      </c>
      <c r="E18" s="43">
        <v>4359.84</v>
      </c>
      <c r="F18" s="38">
        <v>22585</v>
      </c>
      <c r="P18">
        <v>199</v>
      </c>
    </row>
    <row r="19" spans="1:16">
      <c r="A19" s="38" t="s">
        <v>47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68413.490000000005</v>
      </c>
      <c r="L19" s="32">
        <f>+L16</f>
        <v>90.21</v>
      </c>
      <c r="M19" s="41">
        <f>+K19/L19</f>
        <v>758.38033477441536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584.73460032470632</v>
      </c>
      <c r="L20" s="32">
        <f>+C4</f>
        <v>104.71</v>
      </c>
      <c r="M20" s="44">
        <v>61227.56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68413.490000000005</v>
      </c>
      <c r="L21" s="32">
        <f>+L16</f>
        <v>90.21</v>
      </c>
      <c r="M21" s="41">
        <f>+K21/L21</f>
        <v>758.38033477441536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150239</v>
      </c>
      <c r="I24" s="30">
        <f t="shared" ref="I24:J24" si="5">+I13+I14+I15</f>
        <v>108854</v>
      </c>
      <c r="J24" s="30">
        <f t="shared" si="5"/>
        <v>7332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248.36403946347409</v>
      </c>
      <c r="D26" s="31"/>
      <c r="E26" s="31">
        <f>SUM(E15:E25)</f>
        <v>22404.92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178.04423012969735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3886-8C61-44FD-9688-D833B09B3DEB}">
  <dimension ref="A1:X50"/>
  <sheetViews>
    <sheetView workbookViewId="0">
      <selection activeCell="M27" sqref="M2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370.04944019510032</v>
      </c>
    </row>
    <row r="4" spans="1:24" s="4" customFormat="1">
      <c r="A4" s="5" t="s">
        <v>14</v>
      </c>
      <c r="B4" s="14">
        <f>H16</f>
        <v>1489.0554865819884</v>
      </c>
      <c r="C4" s="6">
        <v>104.71</v>
      </c>
      <c r="D4" s="7">
        <f>B4*C4</f>
        <v>155919</v>
      </c>
      <c r="E4" s="8">
        <v>0</v>
      </c>
      <c r="F4" s="9">
        <f>+E4*C4</f>
        <v>0</v>
      </c>
      <c r="G4" s="8">
        <f>+K20</f>
        <v>572.89972304459945</v>
      </c>
      <c r="H4" s="9">
        <f>+G4*C4</f>
        <v>59988.33</v>
      </c>
      <c r="I4" s="8">
        <f>J4/C4</f>
        <v>0</v>
      </c>
      <c r="J4" s="9">
        <v>0</v>
      </c>
      <c r="K4" s="10">
        <f>+M17</f>
        <v>135.85665170470824</v>
      </c>
      <c r="L4" s="9">
        <f>+K4*C4</f>
        <v>14225.55</v>
      </c>
      <c r="M4" s="11">
        <f>+M15</f>
        <v>274.21296915289849</v>
      </c>
      <c r="N4" s="9">
        <f t="shared" ref="N4:N6" si="0">+M4*C4</f>
        <v>28712.84</v>
      </c>
      <c r="O4" s="11"/>
      <c r="P4" s="9">
        <f>+O4*C4</f>
        <v>0</v>
      </c>
      <c r="Q4" s="8">
        <v>506.08614267978214</v>
      </c>
      <c r="R4" s="9">
        <f>+Q4*C4</f>
        <v>52992.279999999984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1768.3737944795478</v>
      </c>
      <c r="C5" s="6">
        <v>90.21</v>
      </c>
      <c r="D5" s="7">
        <f>B5*C5</f>
        <v>159525</v>
      </c>
      <c r="E5" s="8">
        <v>0</v>
      </c>
      <c r="F5" s="9">
        <f>+E5*C5</f>
        <v>0</v>
      </c>
      <c r="G5" s="8">
        <f>+M16</f>
        <v>60.26793038465803</v>
      </c>
      <c r="H5" s="9">
        <f>+G5*C5</f>
        <v>5436.77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599.16982596164507</v>
      </c>
      <c r="N5" s="9">
        <f t="shared" si="0"/>
        <v>54051.11</v>
      </c>
      <c r="O5" s="11">
        <f>+P8/C5</f>
        <v>0</v>
      </c>
      <c r="P5" s="9">
        <f>+O5*C5</f>
        <v>0</v>
      </c>
      <c r="Q5" s="8">
        <v>738.8865979381444</v>
      </c>
      <c r="R5" s="9">
        <f>+Q5*C5</f>
        <v>66654.960000000006</v>
      </c>
      <c r="S5" s="12">
        <f>+X3</f>
        <v>370.04944019510032</v>
      </c>
      <c r="T5" s="9">
        <f>+S5*C5</f>
        <v>33382.159999999996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25.76241134751773</v>
      </c>
      <c r="C6" s="6">
        <v>112.8</v>
      </c>
      <c r="D6" s="7">
        <f>B6*C6</f>
        <v>2906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25.76241134751773</v>
      </c>
      <c r="R6" s="9">
        <f>+Q6*C6</f>
        <v>2906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3283.1916924090538</v>
      </c>
      <c r="C7" s="5"/>
      <c r="D7" s="15">
        <f>SUM(D4:D6)</f>
        <v>318350</v>
      </c>
      <c r="E7" s="16">
        <f>SUM(E4:E6)</f>
        <v>0</v>
      </c>
      <c r="F7" s="17">
        <f>SUM(F4:F6)</f>
        <v>0</v>
      </c>
      <c r="G7" s="16">
        <f t="shared" ref="G7:T7" si="1">SUM(G4:G6)</f>
        <v>633.16765342925748</v>
      </c>
      <c r="H7" s="17">
        <f>SUM(H4:H6)</f>
        <v>65425.100000000006</v>
      </c>
      <c r="I7" s="16">
        <f>SUM(I4:I6)</f>
        <v>0</v>
      </c>
      <c r="J7" s="17">
        <f t="shared" si="1"/>
        <v>0</v>
      </c>
      <c r="K7" s="16">
        <f t="shared" si="1"/>
        <v>135.85665170470824</v>
      </c>
      <c r="L7" s="17">
        <f t="shared" si="1"/>
        <v>14225.55</v>
      </c>
      <c r="M7" s="16">
        <f t="shared" si="1"/>
        <v>873.38279511454357</v>
      </c>
      <c r="N7" s="17">
        <f t="shared" si="1"/>
        <v>82763.95</v>
      </c>
      <c r="O7" s="16">
        <f t="shared" si="1"/>
        <v>0</v>
      </c>
      <c r="P7" s="17">
        <f t="shared" si="1"/>
        <v>0</v>
      </c>
      <c r="Q7" s="16">
        <v>1270.7351519654439</v>
      </c>
      <c r="R7" s="17">
        <f>SUM(R4:R6)</f>
        <v>122553.23999999999</v>
      </c>
      <c r="S7" s="16">
        <f t="shared" si="1"/>
        <v>370.04944019510032</v>
      </c>
      <c r="T7" s="17">
        <f t="shared" si="1"/>
        <v>33382.159999999996</v>
      </c>
      <c r="U7" s="13">
        <f>+B7-E7-G7-Q7-S7-K7-I7-M7-O7</f>
        <v>3.4106051316484809E-13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65425.1</v>
      </c>
      <c r="I8" s="20"/>
      <c r="J8" s="21">
        <v>0</v>
      </c>
      <c r="K8" s="20"/>
      <c r="L8" s="21">
        <v>14225.55</v>
      </c>
      <c r="M8" s="22"/>
      <c r="N8" s="21">
        <v>82763.95</v>
      </c>
      <c r="O8" s="22" t="s">
        <v>19</v>
      </c>
      <c r="P8" s="21">
        <v>0</v>
      </c>
      <c r="Q8" s="20"/>
      <c r="R8" s="21">
        <v>115853</v>
      </c>
      <c r="S8" s="20"/>
      <c r="T8" s="21">
        <v>40082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6700.2399999999907</v>
      </c>
      <c r="S9" s="23"/>
      <c r="T9" s="24">
        <f>+T7-T8</f>
        <v>-6699.8400000000038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0.40000000000873115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63820</v>
      </c>
      <c r="I13" s="41">
        <v>41141</v>
      </c>
      <c r="J13" s="32">
        <v>2906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92099</v>
      </c>
      <c r="I14" s="41">
        <v>65792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18" si="2">+E15/D15</f>
        <v>208.14998337213169</v>
      </c>
      <c r="D15" s="32">
        <v>90.21</v>
      </c>
      <c r="E15" s="43">
        <v>18777.21</v>
      </c>
      <c r="F15" s="38">
        <v>22586</v>
      </c>
      <c r="H15" s="41">
        <v>0</v>
      </c>
      <c r="I15" s="41">
        <v>52592</v>
      </c>
      <c r="J15" s="41"/>
      <c r="K15" s="42">
        <v>28712.84</v>
      </c>
      <c r="L15" s="32">
        <f>+C4</f>
        <v>104.71</v>
      </c>
      <c r="M15" s="32">
        <f>+K15/L15</f>
        <v>274.21296915289849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11.639507815098105</v>
      </c>
      <c r="D16" s="32">
        <v>90.21</v>
      </c>
      <c r="E16" s="43">
        <v>1050</v>
      </c>
      <c r="F16" s="38">
        <v>22587</v>
      </c>
      <c r="H16" s="32">
        <f>+H24/C4</f>
        <v>1489.0554865819884</v>
      </c>
      <c r="I16" s="48">
        <f>+I24/C5</f>
        <v>1768.3737944795478</v>
      </c>
      <c r="J16" s="48">
        <f>+J24/C6</f>
        <v>25.76241134751773</v>
      </c>
      <c r="K16" s="42">
        <v>5436.77</v>
      </c>
      <c r="L16" s="32">
        <f>+C5</f>
        <v>90.21</v>
      </c>
      <c r="M16" s="41">
        <f>+K16/L16</f>
        <v>60.26793038465803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113.85999334885268</v>
      </c>
      <c r="D17" s="32">
        <v>90.21</v>
      </c>
      <c r="E17" s="43">
        <v>10271.31</v>
      </c>
      <c r="F17" s="38">
        <v>22588</v>
      </c>
      <c r="H17" s="30"/>
      <c r="K17" s="41">
        <v>14225.55</v>
      </c>
      <c r="L17" s="32">
        <f>+C4</f>
        <v>104.71</v>
      </c>
      <c r="M17" s="32">
        <f>+K17/L17</f>
        <v>135.85665170470824</v>
      </c>
      <c r="P17">
        <v>62847.72</v>
      </c>
    </row>
    <row r="18" spans="1:16">
      <c r="A18" s="38" t="s">
        <v>58</v>
      </c>
      <c r="B18" s="38" t="s">
        <v>13</v>
      </c>
      <c r="C18" s="31">
        <f t="shared" si="2"/>
        <v>36.399955659017849</v>
      </c>
      <c r="D18" s="32">
        <v>90.21</v>
      </c>
      <c r="E18" s="43">
        <v>3283.64</v>
      </c>
      <c r="F18" s="38">
        <v>22589</v>
      </c>
      <c r="P18">
        <v>199</v>
      </c>
    </row>
    <row r="19" spans="1:16">
      <c r="A19" s="38" t="s">
        <v>47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54051.11</v>
      </c>
      <c r="L19" s="32">
        <f>+L16</f>
        <v>90.21</v>
      </c>
      <c r="M19" s="41">
        <f>+K19/L19</f>
        <v>599.16982596164507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572.89972304459945</v>
      </c>
      <c r="L20" s="32">
        <f>+C4</f>
        <v>104.71</v>
      </c>
      <c r="M20" s="44">
        <v>59988.33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54051.11</v>
      </c>
      <c r="L21" s="32">
        <f>+L16</f>
        <v>90.21</v>
      </c>
      <c r="M21" s="41">
        <f>+K21/L21</f>
        <v>599.16982596164507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155919</v>
      </c>
      <c r="I24" s="30">
        <f t="shared" ref="I24:J24" si="5">+I13+I14+I15</f>
        <v>159525</v>
      </c>
      <c r="J24" s="30">
        <f t="shared" si="5"/>
        <v>2906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370.04944019510032</v>
      </c>
      <c r="D26" s="31"/>
      <c r="E26" s="31">
        <f>SUM(E15:E25)</f>
        <v>33382.159999999996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219.7894911872298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3B54-FB81-447B-81BE-AB7F663E7B3A}">
  <dimension ref="A1:X50"/>
  <sheetViews>
    <sheetView workbookViewId="0">
      <selection activeCell="S15" sqref="S15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133.48985700033256</v>
      </c>
    </row>
    <row r="4" spans="1:24" s="4" customFormat="1">
      <c r="A4" s="5" t="s">
        <v>14</v>
      </c>
      <c r="B4" s="14">
        <f>H16</f>
        <v>1526.2725623149652</v>
      </c>
      <c r="C4" s="6">
        <v>104.71</v>
      </c>
      <c r="D4" s="7">
        <f>B4*C4</f>
        <v>159816</v>
      </c>
      <c r="E4" s="8">
        <v>0</v>
      </c>
      <c r="F4" s="9">
        <f>+E4*C4</f>
        <v>0</v>
      </c>
      <c r="G4" s="8">
        <f>+K20</f>
        <v>364.70346671760097</v>
      </c>
      <c r="H4" s="9">
        <f>+G4*C4</f>
        <v>38188.1</v>
      </c>
      <c r="I4" s="8">
        <f>J4/C4</f>
        <v>0</v>
      </c>
      <c r="J4" s="9">
        <v>0</v>
      </c>
      <c r="K4" s="10">
        <f>+M17</f>
        <v>57.736128354502917</v>
      </c>
      <c r="L4" s="9">
        <f>+K4*C4</f>
        <v>6045.55</v>
      </c>
      <c r="M4" s="11">
        <f>+M15</f>
        <v>219.97602903256615</v>
      </c>
      <c r="N4" s="9">
        <f t="shared" ref="N4:N6" si="0">+M4*C4</f>
        <v>23033.69</v>
      </c>
      <c r="O4" s="11"/>
      <c r="P4" s="9">
        <f>+O4*C4</f>
        <v>0</v>
      </c>
      <c r="Q4" s="8">
        <v>883.85693821029508</v>
      </c>
      <c r="R4" s="9">
        <f>+Q4*C4</f>
        <v>92548.659999999989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966.42279126482663</v>
      </c>
      <c r="C5" s="6">
        <v>90.21</v>
      </c>
      <c r="D5" s="7">
        <f>B5*C5</f>
        <v>87181</v>
      </c>
      <c r="E5" s="8">
        <v>0</v>
      </c>
      <c r="F5" s="9">
        <f>+E5*C5</f>
        <v>0</v>
      </c>
      <c r="G5" s="8">
        <f>+M16</f>
        <v>76.743598270701696</v>
      </c>
      <c r="H5" s="9">
        <f>+G5*C5</f>
        <v>6923.04</v>
      </c>
      <c r="I5" s="8">
        <f>+J8/C5</f>
        <v>10.397960314820974</v>
      </c>
      <c r="J5" s="9">
        <f>+I5*C5</f>
        <v>938</v>
      </c>
      <c r="K5" s="8">
        <v>0</v>
      </c>
      <c r="L5" s="9">
        <f>+K5*C5</f>
        <v>0</v>
      </c>
      <c r="M5" s="11">
        <f>+M19</f>
        <v>698.97982485312059</v>
      </c>
      <c r="N5" s="9">
        <f t="shared" si="0"/>
        <v>63054.97</v>
      </c>
      <c r="O5" s="11">
        <f>+P8/C5</f>
        <v>0</v>
      </c>
      <c r="P5" s="9">
        <f>+O5*C5</f>
        <v>0</v>
      </c>
      <c r="Q5" s="8">
        <v>46.811550825850873</v>
      </c>
      <c r="R5" s="9">
        <f>+Q5*C5</f>
        <v>4222.8700000000072</v>
      </c>
      <c r="S5" s="12">
        <f>+X3</f>
        <v>133.48985700033256</v>
      </c>
      <c r="T5" s="9">
        <f>+S5*C5</f>
        <v>12042.119999999999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16.808510638297872</v>
      </c>
      <c r="C6" s="6">
        <v>112.8</v>
      </c>
      <c r="D6" s="7">
        <f>B6*C6</f>
        <v>1895.9999999999998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16.808510638297872</v>
      </c>
      <c r="R6" s="9">
        <f>+Q6*C6</f>
        <v>1895.9999999999998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2509.5038642180898</v>
      </c>
      <c r="C7" s="5"/>
      <c r="D7" s="15">
        <f>SUM(D4:D6)</f>
        <v>248893</v>
      </c>
      <c r="E7" s="16">
        <f>SUM(E4:E6)</f>
        <v>0</v>
      </c>
      <c r="F7" s="17">
        <f>SUM(F4:F6)</f>
        <v>0</v>
      </c>
      <c r="G7" s="16">
        <f t="shared" ref="G7:T7" si="1">SUM(G4:G6)</f>
        <v>441.44706498830266</v>
      </c>
      <c r="H7" s="17">
        <f>SUM(H4:H6)</f>
        <v>45111.14</v>
      </c>
      <c r="I7" s="16">
        <f>SUM(I4:I6)</f>
        <v>10.397960314820974</v>
      </c>
      <c r="J7" s="17">
        <f t="shared" si="1"/>
        <v>938</v>
      </c>
      <c r="K7" s="16">
        <f t="shared" si="1"/>
        <v>57.736128354502917</v>
      </c>
      <c r="L7" s="17">
        <f t="shared" si="1"/>
        <v>6045.55</v>
      </c>
      <c r="M7" s="16">
        <f t="shared" si="1"/>
        <v>918.95585388568679</v>
      </c>
      <c r="N7" s="17">
        <f t="shared" si="1"/>
        <v>86088.66</v>
      </c>
      <c r="O7" s="16">
        <f t="shared" si="1"/>
        <v>0</v>
      </c>
      <c r="P7" s="17">
        <f t="shared" si="1"/>
        <v>0</v>
      </c>
      <c r="Q7" s="16">
        <v>947.47699967444396</v>
      </c>
      <c r="R7" s="17">
        <f>SUM(R4:R6)</f>
        <v>98667.53</v>
      </c>
      <c r="S7" s="16">
        <f t="shared" si="1"/>
        <v>133.48985700033256</v>
      </c>
      <c r="T7" s="17">
        <f t="shared" si="1"/>
        <v>12042.119999999999</v>
      </c>
      <c r="U7" s="13">
        <f>+B7-E7-G7-Q7-S7-K7-I7-M7-O7</f>
        <v>-2.2737367544323206E-13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45111.14</v>
      </c>
      <c r="I8" s="20"/>
      <c r="J8" s="21">
        <v>938</v>
      </c>
      <c r="K8" s="20"/>
      <c r="L8" s="21">
        <v>6045.55</v>
      </c>
      <c r="M8" s="22"/>
      <c r="N8" s="21">
        <v>86088.66</v>
      </c>
      <c r="O8" s="22" t="s">
        <v>19</v>
      </c>
      <c r="P8" s="21">
        <v>0</v>
      </c>
      <c r="Q8" s="20"/>
      <c r="R8" s="21">
        <v>98667</v>
      </c>
      <c r="S8" s="20"/>
      <c r="T8" s="21">
        <v>12042.12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0.52999999999883585</v>
      </c>
      <c r="S9" s="23"/>
      <c r="T9" s="24">
        <f>+T7-T8</f>
        <v>0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0.52999999999883585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70993</v>
      </c>
      <c r="I13" s="41">
        <v>45102</v>
      </c>
      <c r="J13" s="32">
        <v>1896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88823</v>
      </c>
      <c r="I14" s="41">
        <v>7404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58</v>
      </c>
      <c r="B15" s="38" t="s">
        <v>13</v>
      </c>
      <c r="C15" s="31">
        <f t="shared" ref="C15:C17" si="2">+E15/D15</f>
        <v>40.009976720984376</v>
      </c>
      <c r="D15" s="32">
        <v>90.21</v>
      </c>
      <c r="E15" s="43">
        <v>3609.3</v>
      </c>
      <c r="F15" s="38">
        <v>22590</v>
      </c>
      <c r="H15" s="41">
        <v>0</v>
      </c>
      <c r="I15" s="41">
        <v>34675</v>
      </c>
      <c r="J15" s="41"/>
      <c r="K15" s="42">
        <v>23033.69</v>
      </c>
      <c r="L15" s="32">
        <f>+C4</f>
        <v>104.71</v>
      </c>
      <c r="M15" s="32">
        <f>+K15/L15</f>
        <v>219.97602903256615</v>
      </c>
      <c r="P15">
        <v>38634.78</v>
      </c>
      <c r="V15">
        <f>2123+9236+3417.23+18069.1</f>
        <v>32845.33</v>
      </c>
    </row>
    <row r="16" spans="1:24">
      <c r="A16" s="38" t="s">
        <v>58</v>
      </c>
      <c r="B16" s="38" t="s">
        <v>13</v>
      </c>
      <c r="C16" s="31">
        <f t="shared" si="2"/>
        <v>44.349961201640618</v>
      </c>
      <c r="D16" s="32">
        <v>90.21</v>
      </c>
      <c r="E16" s="43">
        <v>4000.81</v>
      </c>
      <c r="F16" s="38">
        <v>22591</v>
      </c>
      <c r="H16" s="32">
        <f>+H24/C4</f>
        <v>1526.2725623149652</v>
      </c>
      <c r="I16" s="48">
        <f>+I24/C5</f>
        <v>966.42279126482663</v>
      </c>
      <c r="J16" s="48">
        <f>+J24/C6</f>
        <v>16.808510638297872</v>
      </c>
      <c r="K16" s="42">
        <v>6923.04</v>
      </c>
      <c r="L16" s="32">
        <f>+C5</f>
        <v>90.21</v>
      </c>
      <c r="M16" s="41">
        <f>+K16/L16</f>
        <v>76.743598270701696</v>
      </c>
      <c r="P16">
        <v>68665.22</v>
      </c>
    </row>
    <row r="17" spans="1:16">
      <c r="A17" s="38" t="s">
        <v>47</v>
      </c>
      <c r="B17" s="38" t="s">
        <v>13</v>
      </c>
      <c r="C17" s="31">
        <f t="shared" si="2"/>
        <v>49.129919077707576</v>
      </c>
      <c r="D17" s="32">
        <v>90.21</v>
      </c>
      <c r="E17" s="43">
        <v>4432.01</v>
      </c>
      <c r="F17" s="38">
        <v>22593</v>
      </c>
      <c r="H17" s="30"/>
      <c r="K17" s="41">
        <v>6045.55</v>
      </c>
      <c r="L17" s="32">
        <f>+C4</f>
        <v>104.71</v>
      </c>
      <c r="M17" s="32">
        <f>+K17/L17</f>
        <v>57.736128354502917</v>
      </c>
      <c r="P17">
        <v>62847.72</v>
      </c>
    </row>
    <row r="18" spans="1:16">
      <c r="A18" s="38" t="s">
        <v>58</v>
      </c>
      <c r="B18" s="38" t="s">
        <v>13</v>
      </c>
      <c r="C18" s="31">
        <f t="shared" ref="C18:C25" si="3">+E18/D18</f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47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63054.97</v>
      </c>
      <c r="L19" s="32">
        <f>+L16</f>
        <v>90.21</v>
      </c>
      <c r="M19" s="41">
        <f>+K19/L19</f>
        <v>698.97982485312059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364.70346671760097</v>
      </c>
      <c r="L20" s="32">
        <f>+C4</f>
        <v>104.71</v>
      </c>
      <c r="M20" s="44">
        <v>38188.1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63054.97</v>
      </c>
      <c r="L21" s="32">
        <f>+L16</f>
        <v>90.21</v>
      </c>
      <c r="M21" s="41">
        <f>+K21/L21</f>
        <v>698.97982485312059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159816</v>
      </c>
      <c r="I24" s="30">
        <f t="shared" ref="I24:J24" si="5">+I13+I14+I15</f>
        <v>87181</v>
      </c>
      <c r="J24" s="30">
        <f t="shared" si="5"/>
        <v>1896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133.48985700033256</v>
      </c>
      <c r="D26" s="31"/>
      <c r="E26" s="31">
        <f>SUM(E15:E25)</f>
        <v>12042.12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84.359937922624994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85AB-8290-4F2B-AB29-7790554C0A94}">
  <dimension ref="A1:X50"/>
  <sheetViews>
    <sheetView tabSelected="1" workbookViewId="0">
      <selection activeCell="A6" sqref="A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596.86730961090791</v>
      </c>
    </row>
    <row r="4" spans="1:24" s="4" customFormat="1">
      <c r="A4" s="5" t="s">
        <v>14</v>
      </c>
      <c r="B4" s="14">
        <f>H16</f>
        <v>1461.4076974501004</v>
      </c>
      <c r="C4" s="6">
        <v>104.71</v>
      </c>
      <c r="D4" s="7">
        <f>B4*C4</f>
        <v>153024</v>
      </c>
      <c r="E4" s="8">
        <v>0</v>
      </c>
      <c r="F4" s="9">
        <f>+E4*C4</f>
        <v>0</v>
      </c>
      <c r="G4" s="8">
        <f>+K20</f>
        <v>475.26387164549709</v>
      </c>
      <c r="H4" s="9">
        <f>+G4*C4</f>
        <v>49764.88</v>
      </c>
      <c r="I4" s="8">
        <f>J4/C4</f>
        <v>0</v>
      </c>
      <c r="J4" s="9">
        <v>0</v>
      </c>
      <c r="K4" s="10">
        <f>+M17</f>
        <v>96.90573966192342</v>
      </c>
      <c r="L4" s="9">
        <f>+K4*C4</f>
        <v>10147</v>
      </c>
      <c r="M4" s="11">
        <f>+M15</f>
        <v>464.33960462229015</v>
      </c>
      <c r="N4" s="9">
        <f t="shared" ref="N4:N6" si="0">+M4*C4</f>
        <v>48621</v>
      </c>
      <c r="O4" s="11"/>
      <c r="P4" s="9">
        <f>+O4*C4</f>
        <v>0</v>
      </c>
      <c r="Q4" s="8">
        <v>424.89848152038962</v>
      </c>
      <c r="R4" s="9">
        <f>+Q4*C4</f>
        <v>44491.119999999995</v>
      </c>
      <c r="S4" s="12">
        <f>+X4</f>
        <v>0</v>
      </c>
      <c r="T4" s="9">
        <f>+S4*C4</f>
        <v>0</v>
      </c>
      <c r="U4" s="13">
        <f>+B4-E4-G4-Q4-S4-K4-I4-M4-O4</f>
        <v>5.6843418860808015E-14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1397.7386099102096</v>
      </c>
      <c r="C5" s="6">
        <v>90.21</v>
      </c>
      <c r="D5" s="7">
        <f>B5*C5</f>
        <v>126090</v>
      </c>
      <c r="E5" s="8">
        <v>0</v>
      </c>
      <c r="F5" s="9">
        <f>+E5*C5</f>
        <v>0</v>
      </c>
      <c r="G5" s="8">
        <f>+M16</f>
        <v>181.5208956878395</v>
      </c>
      <c r="H5" s="9">
        <f>+G5*C5</f>
        <v>16375</v>
      </c>
      <c r="I5" s="8">
        <f>+J8/C5</f>
        <v>44.340982152754684</v>
      </c>
      <c r="J5" s="9">
        <f>+I5*C5</f>
        <v>3999.9999999999995</v>
      </c>
      <c r="K5" s="8">
        <v>0</v>
      </c>
      <c r="L5" s="9">
        <f>+K5*C5</f>
        <v>0</v>
      </c>
      <c r="M5" s="11">
        <f>+M19</f>
        <v>181.19288327236453</v>
      </c>
      <c r="N5" s="9">
        <f t="shared" si="0"/>
        <v>16345.410000000003</v>
      </c>
      <c r="O5" s="11">
        <f>+P8/C5</f>
        <v>0</v>
      </c>
      <c r="P5" s="9">
        <f>+O5*C5</f>
        <v>0</v>
      </c>
      <c r="Q5" s="8">
        <v>393.81653918634288</v>
      </c>
      <c r="R5" s="9">
        <f>+Q5*C5</f>
        <v>35526.189999999988</v>
      </c>
      <c r="S5" s="12">
        <f>+X3</f>
        <v>596.86730961090791</v>
      </c>
      <c r="T5" s="9">
        <f>+S5*C5</f>
        <v>53843.4</v>
      </c>
      <c r="U5" s="13">
        <f>+B5-E5-G5-Q5-S5-K5-I5-M5-O5</f>
        <v>-2.8421709430404007E-14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27.145390070921987</v>
      </c>
      <c r="C6" s="6">
        <v>112.8</v>
      </c>
      <c r="D6" s="7">
        <f>B6*C6</f>
        <v>3062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27.145390070921987</v>
      </c>
      <c r="R6" s="9">
        <f>+Q6*C6</f>
        <v>3062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2886.291697431232</v>
      </c>
      <c r="C7" s="5"/>
      <c r="D7" s="15">
        <f>SUM(D4:D6)</f>
        <v>282176</v>
      </c>
      <c r="E7" s="16">
        <f>SUM(E4:E6)</f>
        <v>0</v>
      </c>
      <c r="F7" s="17">
        <f>SUM(F4:F6)</f>
        <v>0</v>
      </c>
      <c r="G7" s="16">
        <f t="shared" ref="G7:T7" si="1">SUM(G4:G6)</f>
        <v>656.78476733333662</v>
      </c>
      <c r="H7" s="17">
        <f>SUM(H4:H6)</f>
        <v>66139.88</v>
      </c>
      <c r="I7" s="16">
        <f>SUM(I4:I6)</f>
        <v>44.340982152754684</v>
      </c>
      <c r="J7" s="17">
        <f t="shared" si="1"/>
        <v>3999.9999999999995</v>
      </c>
      <c r="K7" s="16">
        <f t="shared" si="1"/>
        <v>96.90573966192342</v>
      </c>
      <c r="L7" s="17">
        <f t="shared" si="1"/>
        <v>10147</v>
      </c>
      <c r="M7" s="16">
        <f t="shared" si="1"/>
        <v>645.53248789465465</v>
      </c>
      <c r="N7" s="17">
        <f t="shared" si="1"/>
        <v>64966.41</v>
      </c>
      <c r="O7" s="16">
        <f t="shared" si="1"/>
        <v>0</v>
      </c>
      <c r="P7" s="17">
        <f t="shared" si="1"/>
        <v>0</v>
      </c>
      <c r="Q7" s="16">
        <v>783.50476656413116</v>
      </c>
      <c r="R7" s="17">
        <f>SUM(R4:R6)</f>
        <v>83079.309999999983</v>
      </c>
      <c r="S7" s="16">
        <f t="shared" si="1"/>
        <v>596.86730961090791</v>
      </c>
      <c r="T7" s="17">
        <f t="shared" si="1"/>
        <v>53843.4</v>
      </c>
      <c r="U7" s="13">
        <f>+B7-E7-G7-Q7-S7-K7-I7-M7-O7</f>
        <v>62.355644213523419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66139.88</v>
      </c>
      <c r="I8" s="20"/>
      <c r="J8" s="21">
        <v>4000</v>
      </c>
      <c r="K8" s="20"/>
      <c r="L8" s="21">
        <v>10147</v>
      </c>
      <c r="M8" s="22"/>
      <c r="N8" s="21">
        <v>64966.41</v>
      </c>
      <c r="O8" s="22" t="s">
        <v>19</v>
      </c>
      <c r="P8" s="21">
        <v>0</v>
      </c>
      <c r="Q8" s="20"/>
      <c r="R8" s="21">
        <v>81279</v>
      </c>
      <c r="S8" s="20"/>
      <c r="T8" s="21">
        <v>55644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1800.3099999999831</v>
      </c>
      <c r="S9" s="23"/>
      <c r="T9" s="24">
        <f>+T7-T8</f>
        <v>-1800.5999999999985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-0.29000000000814907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77944</v>
      </c>
      <c r="I13" s="41">
        <v>59053</v>
      </c>
      <c r="J13" s="32">
        <v>3062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75080</v>
      </c>
      <c r="I14" s="41">
        <v>31244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49</v>
      </c>
      <c r="B15" s="38" t="s">
        <v>13</v>
      </c>
      <c r="C15" s="31">
        <f t="shared" ref="C15:C19" si="2">+E15/D15</f>
        <v>311.7399401396741</v>
      </c>
      <c r="D15" s="32">
        <v>90.21</v>
      </c>
      <c r="E15" s="43">
        <v>28122.06</v>
      </c>
      <c r="F15" s="38">
        <v>22594</v>
      </c>
      <c r="H15" s="41">
        <v>0</v>
      </c>
      <c r="I15" s="41">
        <v>35793</v>
      </c>
      <c r="J15" s="41"/>
      <c r="K15" s="42">
        <v>48621</v>
      </c>
      <c r="L15" s="32">
        <f>+C4</f>
        <v>104.71</v>
      </c>
      <c r="M15" s="32">
        <f>+K15/L15</f>
        <v>464.33960462229015</v>
      </c>
      <c r="P15">
        <v>38634.78</v>
      </c>
      <c r="V15">
        <f>2123+9236+3417.23+18069.1</f>
        <v>32845.33</v>
      </c>
    </row>
    <row r="16" spans="1:24">
      <c r="A16" s="38" t="s">
        <v>55</v>
      </c>
      <c r="B16" s="38" t="s">
        <v>13</v>
      </c>
      <c r="C16" s="31">
        <f t="shared" si="2"/>
        <v>38.019953441968745</v>
      </c>
      <c r="D16" s="32">
        <v>90.21</v>
      </c>
      <c r="E16" s="43">
        <v>3429.78</v>
      </c>
      <c r="F16" s="38">
        <v>22595</v>
      </c>
      <c r="H16" s="32">
        <f>+H24/C4</f>
        <v>1461.4076974501004</v>
      </c>
      <c r="I16" s="48">
        <f>+I24/C5</f>
        <v>1397.7386099102096</v>
      </c>
      <c r="J16" s="48">
        <f>+J24/C6</f>
        <v>27.145390070921987</v>
      </c>
      <c r="K16" s="42">
        <v>16375</v>
      </c>
      <c r="L16" s="32">
        <f>+C5</f>
        <v>90.21</v>
      </c>
      <c r="M16" s="41">
        <f>+K16/L16</f>
        <v>181.5208956878395</v>
      </c>
      <c r="P16">
        <v>68665.22</v>
      </c>
    </row>
    <row r="17" spans="1:16">
      <c r="A17" s="38" t="s">
        <v>45</v>
      </c>
      <c r="B17" s="38" t="s">
        <v>13</v>
      </c>
      <c r="C17" s="31">
        <f t="shared" si="2"/>
        <v>200.39995565901788</v>
      </c>
      <c r="D17" s="32">
        <v>90.21</v>
      </c>
      <c r="E17" s="43">
        <v>18078.080000000002</v>
      </c>
      <c r="F17" s="38">
        <v>22596</v>
      </c>
      <c r="H17" s="30"/>
      <c r="K17" s="41">
        <v>10147</v>
      </c>
      <c r="L17" s="32">
        <f>+C4</f>
        <v>104.71</v>
      </c>
      <c r="M17" s="32">
        <f>+K17/L17</f>
        <v>96.90573966192342</v>
      </c>
      <c r="P17">
        <v>62847.72</v>
      </c>
    </row>
    <row r="18" spans="1:16">
      <c r="A18" s="38" t="s">
        <v>45</v>
      </c>
      <c r="B18" s="38" t="s">
        <v>13</v>
      </c>
      <c r="C18" s="31">
        <f t="shared" si="2"/>
        <v>10.677530207294092</v>
      </c>
      <c r="D18" s="32">
        <v>90.21</v>
      </c>
      <c r="E18" s="43">
        <v>963.22</v>
      </c>
      <c r="F18" s="38" t="s">
        <v>69</v>
      </c>
      <c r="P18">
        <v>199</v>
      </c>
    </row>
    <row r="19" spans="1:16">
      <c r="A19" s="38" t="s">
        <v>47</v>
      </c>
      <c r="B19" s="38" t="s">
        <v>13</v>
      </c>
      <c r="C19" s="31">
        <f t="shared" si="2"/>
        <v>36.029930162953114</v>
      </c>
      <c r="D19" s="32">
        <v>90.21</v>
      </c>
      <c r="E19" s="43">
        <v>3250.26</v>
      </c>
      <c r="F19" s="38">
        <v>22599</v>
      </c>
      <c r="H19">
        <f>179130.55+24221.9</f>
        <v>203352.44999999998</v>
      </c>
      <c r="K19" s="47">
        <f>+N8-K15</f>
        <v>16345.410000000003</v>
      </c>
      <c r="L19" s="32">
        <f>+L16</f>
        <v>90.21</v>
      </c>
      <c r="M19" s="41">
        <f>+K19/L19</f>
        <v>181.19288327236453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475.26387164549709</v>
      </c>
      <c r="L20" s="32">
        <f>+C4</f>
        <v>104.71</v>
      </c>
      <c r="M20" s="44">
        <v>49764.88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16345.410000000003</v>
      </c>
      <c r="L21" s="32">
        <f>+L16</f>
        <v>90.21</v>
      </c>
      <c r="M21" s="41">
        <f>+K21/L21</f>
        <v>181.19288327236453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153024</v>
      </c>
      <c r="I24" s="30">
        <f t="shared" ref="I24:J24" si="5">+I13+I14+I15</f>
        <v>126090</v>
      </c>
      <c r="J24" s="30">
        <f t="shared" si="5"/>
        <v>3062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596.86730961090791</v>
      </c>
      <c r="D26" s="31"/>
      <c r="E26" s="31">
        <f>SUM(E15:E25)</f>
        <v>53843.4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349.75989358164287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77FD-6BC7-4DF6-902C-2F1265B6BDCD}">
  <dimension ref="A1:X50"/>
  <sheetViews>
    <sheetView workbookViewId="0">
      <selection activeCell="J28" sqref="J2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371.15984924066072</v>
      </c>
    </row>
    <row r="4" spans="1:24" s="4" customFormat="1">
      <c r="A4" s="5" t="s">
        <v>14</v>
      </c>
      <c r="B4" s="14">
        <f>H16</f>
        <v>1740.454588864483</v>
      </c>
      <c r="C4" s="6">
        <v>104.71</v>
      </c>
      <c r="D4" s="7">
        <f>B4*C4</f>
        <v>182243</v>
      </c>
      <c r="E4" s="8">
        <v>0</v>
      </c>
      <c r="F4" s="9">
        <f>+E4*C4</f>
        <v>0</v>
      </c>
      <c r="G4" s="8">
        <f>+K20</f>
        <v>582.33549804221184</v>
      </c>
      <c r="H4" s="9">
        <f>+G4*C4</f>
        <v>60976.35</v>
      </c>
      <c r="I4" s="8">
        <f>J4/C4</f>
        <v>0</v>
      </c>
      <c r="J4" s="9">
        <v>0</v>
      </c>
      <c r="K4" s="10">
        <f>+M17</f>
        <v>70.193868780441221</v>
      </c>
      <c r="L4" s="9">
        <f>+K4*C4</f>
        <v>7350</v>
      </c>
      <c r="M4" s="11">
        <f>+M15</f>
        <v>475.02912806799736</v>
      </c>
      <c r="N4" s="9">
        <f t="shared" ref="N4:N6" si="0">+M4*C4</f>
        <v>49740.3</v>
      </c>
      <c r="O4" s="11"/>
      <c r="P4" s="9">
        <f>+O4*C4</f>
        <v>0</v>
      </c>
      <c r="Q4" s="8">
        <v>612.89609397383242</v>
      </c>
      <c r="R4" s="9">
        <f>+Q4*C4</f>
        <v>64176.349999999991</v>
      </c>
      <c r="S4" s="12">
        <f>+X4</f>
        <v>0</v>
      </c>
      <c r="T4" s="9">
        <f>+S4*C4</f>
        <v>0</v>
      </c>
      <c r="U4" s="13">
        <f>+B4-E4-G4-Q4-S4-K4-I4-M4-O4</f>
        <v>1.1368683772161603E-13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2177.8073384325467</v>
      </c>
      <c r="C5" s="6">
        <v>90.21</v>
      </c>
      <c r="D5" s="7">
        <f>B5*C5</f>
        <v>196460.00000000003</v>
      </c>
      <c r="E5" s="8">
        <v>0</v>
      </c>
      <c r="F5" s="9">
        <f>+E5*C5</f>
        <v>0</v>
      </c>
      <c r="G5" s="8">
        <f>+M16</f>
        <v>150.8782840039907</v>
      </c>
      <c r="H5" s="9">
        <f>+G5*C5</f>
        <v>13610.73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906.63717991353519</v>
      </c>
      <c r="N5" s="9">
        <f t="shared" si="0"/>
        <v>81787.740000000005</v>
      </c>
      <c r="O5" s="11">
        <f>+P8/C5</f>
        <v>0</v>
      </c>
      <c r="P5" s="9">
        <f>+O5*C5</f>
        <v>0</v>
      </c>
      <c r="Q5" s="8">
        <v>749.1320252743601</v>
      </c>
      <c r="R5" s="9">
        <f>+Q5*C5</f>
        <v>67579.200000000026</v>
      </c>
      <c r="S5" s="12">
        <f>+X3</f>
        <v>371.15984924066072</v>
      </c>
      <c r="T5" s="9">
        <f>+S5*C5</f>
        <v>33482.33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93.608156028368796</v>
      </c>
      <c r="C6" s="6">
        <v>112.8</v>
      </c>
      <c r="D6" s="7">
        <f>B6*C6</f>
        <v>10559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93.608156028368796</v>
      </c>
      <c r="R6" s="9">
        <f>+Q6*C6</f>
        <v>10559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4011.8700833253984</v>
      </c>
      <c r="C7" s="5"/>
      <c r="D7" s="15">
        <f>SUM(D4:D6)</f>
        <v>389262</v>
      </c>
      <c r="E7" s="16">
        <f>SUM(E4:E6)</f>
        <v>0</v>
      </c>
      <c r="F7" s="17">
        <f>SUM(F4:F6)</f>
        <v>0</v>
      </c>
      <c r="G7" s="16">
        <f t="shared" ref="G7:T7" si="1">SUM(G4:G6)</f>
        <v>733.2137820462026</v>
      </c>
      <c r="H7" s="17">
        <f>SUM(H4:H6)</f>
        <v>74587.08</v>
      </c>
      <c r="I7" s="16">
        <f>SUM(I4:I6)</f>
        <v>0</v>
      </c>
      <c r="J7" s="17">
        <f t="shared" si="1"/>
        <v>0</v>
      </c>
      <c r="K7" s="16">
        <f t="shared" si="1"/>
        <v>70.193868780441221</v>
      </c>
      <c r="L7" s="17">
        <f t="shared" si="1"/>
        <v>7350</v>
      </c>
      <c r="M7" s="16">
        <f t="shared" si="1"/>
        <v>1381.6663079815326</v>
      </c>
      <c r="N7" s="17">
        <f t="shared" si="1"/>
        <v>131528.04</v>
      </c>
      <c r="O7" s="16">
        <f t="shared" si="1"/>
        <v>0</v>
      </c>
      <c r="P7" s="17">
        <f t="shared" si="1"/>
        <v>0</v>
      </c>
      <c r="Q7" s="16">
        <v>1455.6362752765613</v>
      </c>
      <c r="R7" s="17">
        <f>SUM(R4:R6)</f>
        <v>142314.55000000002</v>
      </c>
      <c r="S7" s="16">
        <f t="shared" si="1"/>
        <v>371.15984924066072</v>
      </c>
      <c r="T7" s="17">
        <f t="shared" si="1"/>
        <v>33482.33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74587.08</v>
      </c>
      <c r="I8" s="20"/>
      <c r="J8" s="21">
        <v>0</v>
      </c>
      <c r="K8" s="20"/>
      <c r="L8" s="21">
        <v>7350</v>
      </c>
      <c r="M8" s="22"/>
      <c r="N8" s="21">
        <v>131528.04</v>
      </c>
      <c r="O8" s="22" t="s">
        <v>19</v>
      </c>
      <c r="P8" s="21">
        <v>0</v>
      </c>
      <c r="Q8" s="20"/>
      <c r="R8" s="21">
        <v>136845</v>
      </c>
      <c r="S8" s="20"/>
      <c r="T8" s="21">
        <v>38951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5469.5500000000175</v>
      </c>
      <c r="S9" s="23"/>
      <c r="T9" s="24">
        <f>+T7-T8</f>
        <v>-5468.6699999999983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0.87999999997555278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76303</v>
      </c>
      <c r="I13" s="41">
        <v>62599</v>
      </c>
      <c r="J13" s="32">
        <v>10559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105940</v>
      </c>
      <c r="I14" s="41">
        <v>83126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49</v>
      </c>
      <c r="B15" s="38" t="s">
        <v>13</v>
      </c>
      <c r="C15" s="31">
        <f t="shared" ref="C15:C16" si="2">+E15/D15</f>
        <v>322.26992572885496</v>
      </c>
      <c r="D15" s="32">
        <v>90.21</v>
      </c>
      <c r="E15" s="43">
        <v>29071.97</v>
      </c>
      <c r="F15" s="38">
        <v>22602</v>
      </c>
      <c r="H15" s="41">
        <v>0</v>
      </c>
      <c r="I15" s="41">
        <v>50735</v>
      </c>
      <c r="J15" s="41"/>
      <c r="K15" s="42">
        <v>49740.3</v>
      </c>
      <c r="L15" s="32">
        <f>+C4</f>
        <v>104.71</v>
      </c>
      <c r="M15" s="32">
        <f>+K15/L15</f>
        <v>475.02912806799736</v>
      </c>
      <c r="P15">
        <v>38634.78</v>
      </c>
      <c r="V15">
        <f>2123+9236+3417.23+18069.1</f>
        <v>32845.33</v>
      </c>
    </row>
    <row r="16" spans="1:24">
      <c r="A16" s="38" t="s">
        <v>47</v>
      </c>
      <c r="B16" s="38" t="s">
        <v>13</v>
      </c>
      <c r="C16" s="31">
        <f t="shared" si="2"/>
        <v>48.889923511805783</v>
      </c>
      <c r="D16" s="32">
        <v>90.21</v>
      </c>
      <c r="E16" s="43">
        <v>4410.3599999999997</v>
      </c>
      <c r="F16" s="38">
        <v>22603</v>
      </c>
      <c r="H16" s="32">
        <f>+H24/C4</f>
        <v>1740.454588864483</v>
      </c>
      <c r="I16" s="48">
        <f>+I24/C5</f>
        <v>2177.8073384325467</v>
      </c>
      <c r="J16" s="48">
        <f>+J24/C6</f>
        <v>93.608156028368796</v>
      </c>
      <c r="K16" s="42">
        <v>13610.73</v>
      </c>
      <c r="L16" s="32">
        <f>+C5</f>
        <v>90.21</v>
      </c>
      <c r="M16" s="41">
        <f>+K16/L16</f>
        <v>150.8782840039907</v>
      </c>
      <c r="P16">
        <v>68665.22</v>
      </c>
    </row>
    <row r="17" spans="1:16">
      <c r="A17" s="38" t="s">
        <v>45</v>
      </c>
      <c r="B17" s="38" t="s">
        <v>13</v>
      </c>
      <c r="C17" s="31">
        <f t="shared" ref="C17:C25" si="3">+E17/D17</f>
        <v>0</v>
      </c>
      <c r="D17" s="32">
        <v>90.21</v>
      </c>
      <c r="E17" s="43">
        <v>0</v>
      </c>
      <c r="F17" s="38"/>
      <c r="H17" s="30"/>
      <c r="K17" s="41">
        <v>7350</v>
      </c>
      <c r="L17" s="32">
        <f>+C4</f>
        <v>104.71</v>
      </c>
      <c r="M17" s="32">
        <f>+K17/L17</f>
        <v>70.193868780441221</v>
      </c>
      <c r="P17">
        <v>62847.72</v>
      </c>
    </row>
    <row r="18" spans="1:16">
      <c r="A18" s="38" t="s">
        <v>45</v>
      </c>
      <c r="B18" s="38" t="s">
        <v>13</v>
      </c>
      <c r="C18" s="31">
        <f t="shared" si="3"/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47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81787.740000000005</v>
      </c>
      <c r="L19" s="32">
        <f>+L16</f>
        <v>90.21</v>
      </c>
      <c r="M19" s="41">
        <f>+K19/L19</f>
        <v>906.63717991353519</v>
      </c>
      <c r="P19">
        <v>163569</v>
      </c>
    </row>
    <row r="20" spans="1:16">
      <c r="A20" s="38" t="s">
        <v>42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582.33549804221184</v>
      </c>
      <c r="L20" s="32">
        <f>+C4</f>
        <v>104.71</v>
      </c>
      <c r="M20" s="44">
        <v>60976.35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81787.740000000005</v>
      </c>
      <c r="L21" s="32">
        <f>+L16</f>
        <v>90.21</v>
      </c>
      <c r="M21" s="41">
        <f>+K21/L21</f>
        <v>906.63717991353519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182243</v>
      </c>
      <c r="I24" s="30">
        <f t="shared" ref="I24:J24" si="5">+I13+I14+I15</f>
        <v>196460</v>
      </c>
      <c r="J24" s="30">
        <f t="shared" si="5"/>
        <v>10559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371.15984924066072</v>
      </c>
      <c r="D26" s="31"/>
      <c r="E26" s="31">
        <f>SUM(E15:E25)</f>
        <v>33482.33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371.15984924066072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C87C-4BB5-4E9D-BB1F-7EAC7E689F8C}">
  <dimension ref="A1:X50"/>
  <sheetViews>
    <sheetView workbookViewId="0">
      <selection activeCell="K24" sqref="K2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834.83948564460707</v>
      </c>
    </row>
    <row r="4" spans="1:24" s="4" customFormat="1">
      <c r="A4" s="5" t="s">
        <v>14</v>
      </c>
      <c r="B4" s="14">
        <f>H16</f>
        <v>1746.7959125202942</v>
      </c>
      <c r="C4" s="6">
        <v>104.71</v>
      </c>
      <c r="D4" s="7">
        <f>B4*C4</f>
        <v>182907</v>
      </c>
      <c r="E4" s="8">
        <v>0</v>
      </c>
      <c r="F4" s="9">
        <f>+E4*C4</f>
        <v>0</v>
      </c>
      <c r="G4" s="8">
        <f>+K20</f>
        <v>596.93744628020249</v>
      </c>
      <c r="H4" s="9">
        <f>+G4*C4</f>
        <v>62505.32</v>
      </c>
      <c r="I4" s="8">
        <f>J4/C4</f>
        <v>0</v>
      </c>
      <c r="J4" s="9">
        <v>0</v>
      </c>
      <c r="K4" s="10">
        <f>+M17</f>
        <v>58.769745010027698</v>
      </c>
      <c r="L4" s="9">
        <f>+K4*C4</f>
        <v>6153.78</v>
      </c>
      <c r="M4" s="11">
        <f>+M15</f>
        <v>446.72352210868115</v>
      </c>
      <c r="N4" s="9">
        <f t="shared" ref="N4:N6" si="0">+M4*C4</f>
        <v>46776.42</v>
      </c>
      <c r="O4" s="11"/>
      <c r="P4" s="9">
        <f>+O4*C4</f>
        <v>0</v>
      </c>
      <c r="Q4" s="8">
        <v>644.36519912138283</v>
      </c>
      <c r="R4" s="9">
        <f>+Q4*C4</f>
        <v>67471.48</v>
      </c>
      <c r="S4" s="12">
        <f>+X4</f>
        <v>0</v>
      </c>
      <c r="T4" s="9">
        <f>+S4*C4</f>
        <v>0</v>
      </c>
      <c r="U4" s="13">
        <f>+B4-E4-G4-Q4-S4-K4-I4-M4-O4</f>
        <v>5.6843418860808015E-14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2350.7815098104425</v>
      </c>
      <c r="C5" s="6">
        <v>90.21</v>
      </c>
      <c r="D5" s="7">
        <f>B5*C5</f>
        <v>212064</v>
      </c>
      <c r="E5" s="8">
        <v>0</v>
      </c>
      <c r="F5" s="9">
        <f>+E5*C5</f>
        <v>0</v>
      </c>
      <c r="G5" s="8">
        <f>+M16</f>
        <v>89.947455936148984</v>
      </c>
      <c r="H5" s="9">
        <f>+G5*C5</f>
        <v>8114.1599999999989</v>
      </c>
      <c r="I5" s="8">
        <f>+J8/C5</f>
        <v>22.170491076377342</v>
      </c>
      <c r="J5" s="9">
        <f>+I5*C5</f>
        <v>1999.9999999999998</v>
      </c>
      <c r="K5" s="8">
        <v>0</v>
      </c>
      <c r="L5" s="9">
        <f>+K5*C5</f>
        <v>0</v>
      </c>
      <c r="M5" s="11">
        <f>+M19</f>
        <v>609.05819753907554</v>
      </c>
      <c r="N5" s="9">
        <f t="shared" si="0"/>
        <v>54943.14</v>
      </c>
      <c r="O5" s="11">
        <f>+P8/C5</f>
        <v>0</v>
      </c>
      <c r="P5" s="9">
        <f>+O5*C5</f>
        <v>0</v>
      </c>
      <c r="Q5" s="8">
        <v>794.76587961423365</v>
      </c>
      <c r="R5" s="9">
        <f>+Q5*C5</f>
        <v>71695.830000000016</v>
      </c>
      <c r="S5" s="12">
        <f>+X3</f>
        <v>834.83948564460707</v>
      </c>
      <c r="T5" s="9">
        <f>+S5*C5</f>
        <v>75310.87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37.455673758865252</v>
      </c>
      <c r="C6" s="6">
        <v>112.8</v>
      </c>
      <c r="D6" s="7">
        <f>B6*C6</f>
        <v>4225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37.455673758865252</v>
      </c>
      <c r="R6" s="9">
        <f>+Q6*C6</f>
        <v>4225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4135.0330960896017</v>
      </c>
      <c r="C7" s="5"/>
      <c r="D7" s="15">
        <f>SUM(D4:D6)</f>
        <v>399196</v>
      </c>
      <c r="E7" s="16">
        <f>SUM(E4:E6)</f>
        <v>0</v>
      </c>
      <c r="F7" s="17">
        <f>SUM(F4:F6)</f>
        <v>0</v>
      </c>
      <c r="G7" s="16">
        <f t="shared" ref="G7:T7" si="1">SUM(G4:G6)</f>
        <v>686.88490221635152</v>
      </c>
      <c r="H7" s="17">
        <f>SUM(H4:H6)</f>
        <v>70619.48</v>
      </c>
      <c r="I7" s="16">
        <f>SUM(I4:I6)</f>
        <v>22.170491076377342</v>
      </c>
      <c r="J7" s="17">
        <f t="shared" si="1"/>
        <v>1999.9999999999998</v>
      </c>
      <c r="K7" s="16">
        <f t="shared" si="1"/>
        <v>58.769745010027698</v>
      </c>
      <c r="L7" s="17">
        <f t="shared" si="1"/>
        <v>6153.78</v>
      </c>
      <c r="M7" s="16">
        <f t="shared" si="1"/>
        <v>1055.7817196477567</v>
      </c>
      <c r="N7" s="17">
        <f t="shared" si="1"/>
        <v>101719.56</v>
      </c>
      <c r="O7" s="16">
        <f t="shared" si="1"/>
        <v>0</v>
      </c>
      <c r="P7" s="17">
        <f t="shared" si="1"/>
        <v>0</v>
      </c>
      <c r="Q7" s="16">
        <v>1476.5867524944815</v>
      </c>
      <c r="R7" s="17">
        <f>SUM(R4:R6)</f>
        <v>143392.31</v>
      </c>
      <c r="S7" s="16">
        <f t="shared" si="1"/>
        <v>834.83948564460707</v>
      </c>
      <c r="T7" s="17">
        <f t="shared" si="1"/>
        <v>75310.87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70619.48</v>
      </c>
      <c r="I8" s="20"/>
      <c r="J8" s="21">
        <v>2000</v>
      </c>
      <c r="K8" s="20"/>
      <c r="L8" s="21">
        <v>6153.78</v>
      </c>
      <c r="M8" s="22"/>
      <c r="N8" s="21">
        <v>101719.56</v>
      </c>
      <c r="O8" s="22" t="s">
        <v>19</v>
      </c>
      <c r="P8" s="21">
        <v>0</v>
      </c>
      <c r="Q8" s="20"/>
      <c r="R8" s="21">
        <v>138942</v>
      </c>
      <c r="S8" s="20"/>
      <c r="T8" s="21">
        <v>79761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4450.3099999999977</v>
      </c>
      <c r="S9" s="23"/>
      <c r="T9" s="24">
        <f>+T7-T8</f>
        <v>-4450.1300000000047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0.17999999999301508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93586</v>
      </c>
      <c r="I13" s="41">
        <v>50904</v>
      </c>
      <c r="J13" s="32">
        <v>4225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89321</v>
      </c>
      <c r="I14" s="41">
        <v>64924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42</v>
      </c>
      <c r="B15" s="38" t="s">
        <v>13</v>
      </c>
      <c r="C15" s="31">
        <f t="shared" ref="C15:C19" si="2">+E15/D15</f>
        <v>74.299966744263401</v>
      </c>
      <c r="D15" s="32">
        <v>90.21</v>
      </c>
      <c r="E15" s="43">
        <v>6702.6</v>
      </c>
      <c r="F15" s="38">
        <v>22608</v>
      </c>
      <c r="H15" s="41">
        <v>0</v>
      </c>
      <c r="I15" s="41">
        <v>96236</v>
      </c>
      <c r="J15" s="41"/>
      <c r="K15" s="42">
        <v>46776.42</v>
      </c>
      <c r="L15" s="32">
        <f>+C4</f>
        <v>104.71</v>
      </c>
      <c r="M15" s="32">
        <f>+K15/L15</f>
        <v>446.72352210868115</v>
      </c>
      <c r="P15">
        <v>38634.78</v>
      </c>
      <c r="V15">
        <f>2123+9236+3417.23+18069.1</f>
        <v>32845.33</v>
      </c>
    </row>
    <row r="16" spans="1:24">
      <c r="A16" s="38" t="s">
        <v>72</v>
      </c>
      <c r="B16" s="38" t="s">
        <v>13</v>
      </c>
      <c r="C16" s="31">
        <f t="shared" si="2"/>
        <v>554.26227690943358</v>
      </c>
      <c r="D16" s="32">
        <v>90.21</v>
      </c>
      <c r="E16" s="43">
        <v>50000</v>
      </c>
      <c r="F16" s="38">
        <v>22607</v>
      </c>
      <c r="H16" s="32">
        <f>+H24/C4</f>
        <v>1746.7959125202942</v>
      </c>
      <c r="I16" s="48">
        <f>+I24/C5</f>
        <v>2350.7815098104425</v>
      </c>
      <c r="J16" s="48">
        <f>+J24/C6</f>
        <v>37.455673758865252</v>
      </c>
      <c r="K16" s="42">
        <v>8114.16</v>
      </c>
      <c r="L16" s="32">
        <f>+C5</f>
        <v>90.21</v>
      </c>
      <c r="M16" s="41">
        <f>+K16/L16</f>
        <v>89.947455936148984</v>
      </c>
      <c r="P16">
        <v>68665.22</v>
      </c>
    </row>
    <row r="17" spans="1:16">
      <c r="A17" s="38" t="s">
        <v>45</v>
      </c>
      <c r="B17" s="38" t="s">
        <v>13</v>
      </c>
      <c r="C17" s="31">
        <f t="shared" si="2"/>
        <v>152.36924952887708</v>
      </c>
      <c r="D17" s="32">
        <v>90.21</v>
      </c>
      <c r="E17" s="43">
        <v>13745.23</v>
      </c>
      <c r="F17" s="38">
        <v>22606</v>
      </c>
      <c r="H17" s="30"/>
      <c r="K17" s="41">
        <v>6153.78</v>
      </c>
      <c r="L17" s="32">
        <f>+C4</f>
        <v>104.71</v>
      </c>
      <c r="M17" s="32">
        <f>+K17/L17</f>
        <v>58.769745010027698</v>
      </c>
      <c r="P17">
        <v>62847.72</v>
      </c>
    </row>
    <row r="18" spans="1:16">
      <c r="A18" s="38" t="s">
        <v>47</v>
      </c>
      <c r="B18" s="38" t="s">
        <v>13</v>
      </c>
      <c r="C18" s="31">
        <f t="shared" si="2"/>
        <v>32.258064516129032</v>
      </c>
      <c r="D18" s="32">
        <v>90.21</v>
      </c>
      <c r="E18" s="43">
        <v>2910</v>
      </c>
      <c r="F18" s="38">
        <v>22604</v>
      </c>
      <c r="P18">
        <v>199</v>
      </c>
    </row>
    <row r="19" spans="1:16">
      <c r="A19" s="38" t="s">
        <v>47</v>
      </c>
      <c r="B19" s="38" t="s">
        <v>13</v>
      </c>
      <c r="C19" s="31">
        <f t="shared" si="2"/>
        <v>21.649927945904004</v>
      </c>
      <c r="D19" s="32">
        <v>90.21</v>
      </c>
      <c r="E19" s="43">
        <v>1953.04</v>
      </c>
      <c r="F19" s="38">
        <v>22610</v>
      </c>
      <c r="H19">
        <f>179130.55+24221.9</f>
        <v>203352.44999999998</v>
      </c>
      <c r="K19" s="47">
        <v>54943.14</v>
      </c>
      <c r="L19" s="32">
        <f>+L16</f>
        <v>90.21</v>
      </c>
      <c r="M19" s="41">
        <f>+K19/L19</f>
        <v>609.05819753907554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596.93744628020249</v>
      </c>
      <c r="L20" s="32">
        <f>+C4</f>
        <v>104.71</v>
      </c>
      <c r="M20" s="44">
        <v>62505.32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54943.14</v>
      </c>
      <c r="L21" s="32">
        <f>+L16</f>
        <v>90.21</v>
      </c>
      <c r="M21" s="41">
        <f>+K21/L21</f>
        <v>609.05819753907554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182907</v>
      </c>
      <c r="I24" s="30">
        <f t="shared" ref="I24:J24" si="5">+I13+I14+I15</f>
        <v>212064</v>
      </c>
      <c r="J24" s="30">
        <f t="shared" si="5"/>
        <v>4225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834.83948564460707</v>
      </c>
      <c r="D26" s="31"/>
      <c r="E26" s="31">
        <f>SUM(E15:E25)</f>
        <v>75310.87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628.56224365369701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6E08-2CEC-4F2A-8122-719C957A87BF}">
  <dimension ref="A1:X50"/>
  <sheetViews>
    <sheetView workbookViewId="0">
      <selection activeCell="T16" sqref="T1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508.20651812437643</v>
      </c>
    </row>
    <row r="4" spans="1:24" s="4" customFormat="1">
      <c r="A4" s="5" t="s">
        <v>14</v>
      </c>
      <c r="B4" s="14">
        <f>H16</f>
        <v>1882.0360997039443</v>
      </c>
      <c r="C4" s="6">
        <v>104.71</v>
      </c>
      <c r="D4" s="7">
        <f>B4*C4</f>
        <v>197068</v>
      </c>
      <c r="E4" s="8">
        <v>0</v>
      </c>
      <c r="F4" s="9">
        <f>+E4*C4</f>
        <v>0</v>
      </c>
      <c r="G4" s="8">
        <f>+K20</f>
        <v>596.56470251169901</v>
      </c>
      <c r="H4" s="9">
        <f>+G4*C4</f>
        <v>62466.29</v>
      </c>
      <c r="I4" s="8">
        <f>J4/C4</f>
        <v>0</v>
      </c>
      <c r="J4" s="9">
        <v>0</v>
      </c>
      <c r="K4" s="10">
        <f>+M17</f>
        <v>0</v>
      </c>
      <c r="L4" s="9">
        <f>+K4*C4</f>
        <v>0</v>
      </c>
      <c r="M4" s="11">
        <f>+M15</f>
        <v>113.73278578932289</v>
      </c>
      <c r="N4" s="9">
        <f t="shared" ref="N4:N6" si="0">+M4*C4</f>
        <v>11908.96</v>
      </c>
      <c r="O4" s="11"/>
      <c r="P4" s="9">
        <f>+O4*C4</f>
        <v>0</v>
      </c>
      <c r="Q4" s="8">
        <v>1171.7386114029223</v>
      </c>
      <c r="R4" s="9">
        <f>+Q4*C4</f>
        <v>122692.74999999999</v>
      </c>
      <c r="S4" s="12">
        <f>+X4</f>
        <v>0</v>
      </c>
      <c r="T4" s="9">
        <f>+S4*C4</f>
        <v>0</v>
      </c>
      <c r="U4" s="13">
        <f>+B4-E4-G4-Q4-S4-K4-I4-M4-O4</f>
        <v>-2.8421709430404007E-14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1640.239441303625</v>
      </c>
      <c r="C5" s="6">
        <v>90.21</v>
      </c>
      <c r="D5" s="7">
        <f>B5*C5</f>
        <v>147966</v>
      </c>
      <c r="E5" s="8">
        <v>0</v>
      </c>
      <c r="F5" s="9">
        <f>+E5*C5</f>
        <v>0</v>
      </c>
      <c r="G5" s="8">
        <f>+M16</f>
        <v>84.602593947455944</v>
      </c>
      <c r="H5" s="9">
        <f>+G5*C5</f>
        <v>7632</v>
      </c>
      <c r="I5" s="8">
        <f>+J8/C5</f>
        <v>3.547278572220375</v>
      </c>
      <c r="J5" s="9">
        <f>+I5*C5</f>
        <v>320</v>
      </c>
      <c r="K5" s="8">
        <v>0</v>
      </c>
      <c r="L5" s="9">
        <f>+K5*C5</f>
        <v>0</v>
      </c>
      <c r="M5" s="11">
        <f>+M19</f>
        <v>662.02749140893479</v>
      </c>
      <c r="N5" s="9">
        <f t="shared" si="0"/>
        <v>59721.5</v>
      </c>
      <c r="O5" s="11">
        <f>+P8/C5</f>
        <v>0</v>
      </c>
      <c r="P5" s="9">
        <f>+O5*C5</f>
        <v>0</v>
      </c>
      <c r="Q5" s="8">
        <v>381.8555592506375</v>
      </c>
      <c r="R5" s="9">
        <f>+Q5*C5</f>
        <v>34447.19000000001</v>
      </c>
      <c r="S5" s="12">
        <f>+X3</f>
        <v>508.20651812437643</v>
      </c>
      <c r="T5" s="9">
        <f>+S5*C5</f>
        <v>45845.31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36.586879432624116</v>
      </c>
      <c r="C6" s="6">
        <v>112.8</v>
      </c>
      <c r="D6" s="7">
        <f>B6*C6</f>
        <v>4127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36.586879432624116</v>
      </c>
      <c r="R6" s="9">
        <f>+Q6*C6</f>
        <v>4127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3558.8624204401935</v>
      </c>
      <c r="C7" s="5"/>
      <c r="D7" s="15">
        <f>SUM(D4:D6)</f>
        <v>349161</v>
      </c>
      <c r="E7" s="16">
        <f>SUM(E4:E6)</f>
        <v>0</v>
      </c>
      <c r="F7" s="17">
        <f>SUM(F4:F6)</f>
        <v>0</v>
      </c>
      <c r="G7" s="16">
        <f t="shared" ref="G7:T7" si="1">SUM(G4:G6)</f>
        <v>681.16729645915495</v>
      </c>
      <c r="H7" s="17">
        <f>SUM(H4:H6)</f>
        <v>70098.290000000008</v>
      </c>
      <c r="I7" s="16">
        <f>SUM(I4:I6)</f>
        <v>3.547278572220375</v>
      </c>
      <c r="J7" s="17">
        <f t="shared" si="1"/>
        <v>320</v>
      </c>
      <c r="K7" s="16">
        <f t="shared" si="1"/>
        <v>0</v>
      </c>
      <c r="L7" s="17">
        <f t="shared" si="1"/>
        <v>0</v>
      </c>
      <c r="M7" s="16">
        <f t="shared" si="1"/>
        <v>775.76027719825765</v>
      </c>
      <c r="N7" s="17">
        <f t="shared" si="1"/>
        <v>71630.459999999992</v>
      </c>
      <c r="O7" s="16">
        <f t="shared" si="1"/>
        <v>0</v>
      </c>
      <c r="P7" s="17">
        <f t="shared" si="1"/>
        <v>0</v>
      </c>
      <c r="Q7" s="16">
        <v>1590.1810500861841</v>
      </c>
      <c r="R7" s="17">
        <f>SUM(R4:R6)</f>
        <v>161266.94</v>
      </c>
      <c r="S7" s="16">
        <f t="shared" si="1"/>
        <v>508.20651812437643</v>
      </c>
      <c r="T7" s="17">
        <f t="shared" si="1"/>
        <v>45845.31</v>
      </c>
      <c r="U7" s="13">
        <f>+B7-E7-G7-Q7-S7-K7-I7-M7-O7</f>
        <v>1.1368683772161603E-13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70098.289999999994</v>
      </c>
      <c r="I8" s="20"/>
      <c r="J8" s="21">
        <v>320</v>
      </c>
      <c r="K8" s="20"/>
      <c r="L8" s="21">
        <v>0</v>
      </c>
      <c r="M8" s="22"/>
      <c r="N8" s="21">
        <v>71630.460000000006</v>
      </c>
      <c r="O8" s="22" t="s">
        <v>19</v>
      </c>
      <c r="P8" s="21">
        <v>0</v>
      </c>
      <c r="Q8" s="20"/>
      <c r="R8" s="21">
        <v>159267</v>
      </c>
      <c r="S8" s="20"/>
      <c r="T8" s="21">
        <v>47845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1999.9400000000023</v>
      </c>
      <c r="S9" s="23"/>
      <c r="T9" s="24">
        <f>+T7-T8</f>
        <v>-1999.6900000000023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0.25000000001455192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82260</v>
      </c>
      <c r="I13" s="41">
        <v>51196</v>
      </c>
      <c r="J13" s="32">
        <v>4127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114808</v>
      </c>
      <c r="I14" s="41">
        <v>39766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42</v>
      </c>
      <c r="B15" s="38" t="s">
        <v>13</v>
      </c>
      <c r="C15" s="31">
        <f t="shared" ref="C15:C19" si="2">+E15/D15</f>
        <v>221.70491076377343</v>
      </c>
      <c r="D15" s="32">
        <v>90.21</v>
      </c>
      <c r="E15" s="43">
        <v>20000</v>
      </c>
      <c r="F15" s="38">
        <v>22611</v>
      </c>
      <c r="H15" s="41">
        <v>0</v>
      </c>
      <c r="I15" s="41">
        <v>57004</v>
      </c>
      <c r="J15" s="41"/>
      <c r="K15" s="42">
        <v>11908.96</v>
      </c>
      <c r="L15" s="32">
        <f>+C4</f>
        <v>104.71</v>
      </c>
      <c r="M15" s="32">
        <f>+K15/L15</f>
        <v>113.73278578932289</v>
      </c>
      <c r="P15">
        <v>38634.78</v>
      </c>
      <c r="V15">
        <f>2123+9236+3417.23+18069.1</f>
        <v>32845.33</v>
      </c>
    </row>
    <row r="16" spans="1:24">
      <c r="A16" s="38" t="s">
        <v>42</v>
      </c>
      <c r="B16" s="38" t="s">
        <v>13</v>
      </c>
      <c r="C16" s="31">
        <f t="shared" si="2"/>
        <v>90.869970069837038</v>
      </c>
      <c r="D16" s="32">
        <v>90.21</v>
      </c>
      <c r="E16" s="43">
        <v>8197.3799999999992</v>
      </c>
      <c r="F16" s="38">
        <v>22612</v>
      </c>
      <c r="H16" s="32">
        <f>+H24/C4</f>
        <v>1882.0360997039443</v>
      </c>
      <c r="I16" s="48">
        <f>+I24/C5</f>
        <v>1640.239441303625</v>
      </c>
      <c r="J16" s="48">
        <f>+J24/C6</f>
        <v>36.586879432624116</v>
      </c>
      <c r="K16" s="42">
        <v>7632</v>
      </c>
      <c r="L16" s="32">
        <f>+C5</f>
        <v>90.21</v>
      </c>
      <c r="M16" s="41">
        <f>+K16/L16</f>
        <v>84.602593947455944</v>
      </c>
      <c r="P16">
        <v>68665.22</v>
      </c>
    </row>
    <row r="17" spans="1:16">
      <c r="A17" s="38" t="s">
        <v>47</v>
      </c>
      <c r="B17" s="38" t="s">
        <v>13</v>
      </c>
      <c r="C17" s="31">
        <f t="shared" si="2"/>
        <v>54.011750360270483</v>
      </c>
      <c r="D17" s="32">
        <v>90.21</v>
      </c>
      <c r="E17" s="43">
        <v>4872.3999999999996</v>
      </c>
      <c r="F17" s="38">
        <v>22614</v>
      </c>
      <c r="H17" s="30"/>
      <c r="K17" s="41">
        <v>0</v>
      </c>
      <c r="L17" s="32">
        <f>+C4</f>
        <v>104.71</v>
      </c>
      <c r="M17" s="32">
        <f>+K17/L17</f>
        <v>0</v>
      </c>
      <c r="P17">
        <v>62847.72</v>
      </c>
    </row>
    <row r="18" spans="1:16">
      <c r="A18" s="38" t="s">
        <v>58</v>
      </c>
      <c r="B18" s="38" t="s">
        <v>13</v>
      </c>
      <c r="C18" s="31">
        <f t="shared" si="2"/>
        <v>37.189890256069177</v>
      </c>
      <c r="D18" s="32">
        <v>90.21</v>
      </c>
      <c r="E18" s="43">
        <v>3354.9</v>
      </c>
      <c r="F18" s="38">
        <v>22615</v>
      </c>
      <c r="P18">
        <v>199</v>
      </c>
    </row>
    <row r="19" spans="1:16">
      <c r="A19" s="38" t="s">
        <v>44</v>
      </c>
      <c r="B19" s="38" t="s">
        <v>13</v>
      </c>
      <c r="C19" s="31">
        <f t="shared" si="2"/>
        <v>104.42999667442633</v>
      </c>
      <c r="D19" s="32">
        <v>90.21</v>
      </c>
      <c r="E19" s="43">
        <v>9420.6299999999992</v>
      </c>
      <c r="F19" s="38">
        <v>22516</v>
      </c>
      <c r="H19">
        <f>179130.55+24221.9</f>
        <v>203352.44999999998</v>
      </c>
      <c r="K19" s="47">
        <v>59721.5</v>
      </c>
      <c r="L19" s="32">
        <f>+L16</f>
        <v>90.21</v>
      </c>
      <c r="M19" s="41">
        <f>+K19/L19</f>
        <v>662.02749140893479</v>
      </c>
      <c r="P19">
        <v>163569</v>
      </c>
    </row>
    <row r="20" spans="1:16">
      <c r="A20" s="38" t="s">
        <v>42</v>
      </c>
      <c r="B20" s="38" t="s">
        <v>13</v>
      </c>
      <c r="C20" s="31">
        <f t="shared" ref="C20:C25" si="3">+E20/D20</f>
        <v>0</v>
      </c>
      <c r="D20" s="32">
        <v>90.21</v>
      </c>
      <c r="E20" s="43">
        <v>0</v>
      </c>
      <c r="F20" s="38"/>
      <c r="K20" s="41">
        <f>+M20/L20</f>
        <v>596.56470251169901</v>
      </c>
      <c r="L20" s="32">
        <f>+C4</f>
        <v>104.71</v>
      </c>
      <c r="M20" s="44">
        <v>62466.29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59721.500000000007</v>
      </c>
      <c r="L21" s="32">
        <f>+L16</f>
        <v>90.21</v>
      </c>
      <c r="M21" s="41">
        <f>+K21/L21</f>
        <v>662.02749140893479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197068</v>
      </c>
      <c r="I24" s="30">
        <f t="shared" ref="I24:J24" si="5">+I13+I14+I15</f>
        <v>147966</v>
      </c>
      <c r="J24" s="30">
        <f t="shared" si="5"/>
        <v>4127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508.20651812437643</v>
      </c>
      <c r="D26" s="31"/>
      <c r="E26" s="31">
        <f>SUM(E15:E25)</f>
        <v>45845.31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312.57488083361045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A902-F685-484B-A838-550474077779}">
  <dimension ref="A1:X50"/>
  <sheetViews>
    <sheetView workbookViewId="0">
      <selection activeCell="M28" sqref="M2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901.18456933821096</v>
      </c>
    </row>
    <row r="4" spans="1:24" s="4" customFormat="1">
      <c r="A4" s="5" t="s">
        <v>14</v>
      </c>
      <c r="B4" s="14">
        <f>H16</f>
        <v>2042.4219272275811</v>
      </c>
      <c r="C4" s="6">
        <v>104.71</v>
      </c>
      <c r="D4" s="7">
        <f>B4*C4</f>
        <v>213862</v>
      </c>
      <c r="E4" s="8">
        <v>0</v>
      </c>
      <c r="F4" s="9">
        <f>+E4*C4</f>
        <v>0</v>
      </c>
      <c r="G4" s="8">
        <f>+K20</f>
        <v>764.72992073345426</v>
      </c>
      <c r="H4" s="9">
        <f>+G4*C4</f>
        <v>80074.87</v>
      </c>
      <c r="I4" s="8">
        <f>J4/C4</f>
        <v>0</v>
      </c>
      <c r="J4" s="9">
        <v>0</v>
      </c>
      <c r="K4" s="10">
        <f>+M17</f>
        <v>177.25145640339989</v>
      </c>
      <c r="L4" s="9">
        <f>+K4*C4</f>
        <v>18560</v>
      </c>
      <c r="M4" s="11">
        <f>+M15</f>
        <v>161.42908986725243</v>
      </c>
      <c r="N4" s="9">
        <f t="shared" ref="N4:N6" si="0">+M4*C4</f>
        <v>16903.240000000002</v>
      </c>
      <c r="O4" s="11"/>
      <c r="P4" s="9">
        <f>+O4*C4</f>
        <v>0</v>
      </c>
      <c r="Q4" s="8">
        <v>939.0114602234745</v>
      </c>
      <c r="R4" s="9">
        <f>+Q4*C4</f>
        <v>98323.890000000014</v>
      </c>
      <c r="S4" s="12">
        <f>+X4</f>
        <v>0</v>
      </c>
      <c r="T4" s="9">
        <f>+S4*C4</f>
        <v>0</v>
      </c>
      <c r="U4" s="13">
        <f>+B4-E4-G4-Q4-S4-K4-I4-M4-O4</f>
        <v>5.6843418860808015E-14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2372.3090566456049</v>
      </c>
      <c r="C5" s="6">
        <v>90.21</v>
      </c>
      <c r="D5" s="7">
        <f>B5*C5</f>
        <v>214006</v>
      </c>
      <c r="E5" s="8">
        <v>0</v>
      </c>
      <c r="F5" s="9">
        <f>+E5*C5</f>
        <v>0</v>
      </c>
      <c r="G5" s="8">
        <f>+M16</f>
        <v>136.16383992905443</v>
      </c>
      <c r="H5" s="9">
        <f>+G5*C5</f>
        <v>12283.34</v>
      </c>
      <c r="I5" s="8">
        <f>+J8/C5</f>
        <v>4.4340982152754691</v>
      </c>
      <c r="J5" s="9">
        <f>+I5*C5</f>
        <v>400.00000000000006</v>
      </c>
      <c r="K5" s="8">
        <v>0</v>
      </c>
      <c r="L5" s="9">
        <f>+K5*C5</f>
        <v>0</v>
      </c>
      <c r="M5" s="11">
        <f>+M19</f>
        <v>1055.4045006096885</v>
      </c>
      <c r="N5" s="9">
        <f t="shared" si="0"/>
        <v>95208.04</v>
      </c>
      <c r="O5" s="11">
        <f>+P8/C5</f>
        <v>0</v>
      </c>
      <c r="P5" s="9">
        <f>+O5*C5</f>
        <v>0</v>
      </c>
      <c r="Q5" s="8">
        <v>275.12204855337518</v>
      </c>
      <c r="R5" s="9">
        <f>+Q5*C5</f>
        <v>24818.759999999973</v>
      </c>
      <c r="S5" s="12">
        <f>+X3</f>
        <v>901.18456933821096</v>
      </c>
      <c r="T5" s="9">
        <f>+S5*C5</f>
        <v>81295.86</v>
      </c>
      <c r="U5" s="13">
        <f>+B5-E5-G5-Q5-S5-K5-I5-M5-O5</f>
        <v>2.2737367544323206E-13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39.512411347517734</v>
      </c>
      <c r="C6" s="6">
        <v>112.8</v>
      </c>
      <c r="D6" s="7">
        <f>B6*C6</f>
        <v>4457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39.512411347517734</v>
      </c>
      <c r="R6" s="9">
        <f>+Q6*C6</f>
        <v>4457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4454.2433952207039</v>
      </c>
      <c r="C7" s="5"/>
      <c r="D7" s="15">
        <f>SUM(D4:D6)</f>
        <v>432325</v>
      </c>
      <c r="E7" s="16">
        <f>SUM(E4:E6)</f>
        <v>0</v>
      </c>
      <c r="F7" s="17">
        <f>SUM(F4:F6)</f>
        <v>0</v>
      </c>
      <c r="G7" s="16">
        <f t="shared" ref="G7:T7" si="1">SUM(G4:G6)</f>
        <v>900.89376066250873</v>
      </c>
      <c r="H7" s="17">
        <f>SUM(H4:H6)</f>
        <v>92358.209999999992</v>
      </c>
      <c r="I7" s="16">
        <f>SUM(I4:I6)</f>
        <v>4.4340982152754691</v>
      </c>
      <c r="J7" s="17">
        <f t="shared" si="1"/>
        <v>400.00000000000006</v>
      </c>
      <c r="K7" s="16">
        <f t="shared" si="1"/>
        <v>177.25145640339989</v>
      </c>
      <c r="L7" s="17">
        <f t="shared" si="1"/>
        <v>18560</v>
      </c>
      <c r="M7" s="16">
        <f t="shared" si="1"/>
        <v>1216.833590476941</v>
      </c>
      <c r="N7" s="17">
        <f t="shared" si="1"/>
        <v>112111.28</v>
      </c>
      <c r="O7" s="16">
        <f t="shared" si="1"/>
        <v>0</v>
      </c>
      <c r="P7" s="17">
        <f t="shared" si="1"/>
        <v>0</v>
      </c>
      <c r="Q7" s="16">
        <v>1253.6459201243679</v>
      </c>
      <c r="R7" s="17">
        <f>SUM(R4:R6)</f>
        <v>127599.65</v>
      </c>
      <c r="S7" s="16">
        <f t="shared" si="1"/>
        <v>901.18456933821096</v>
      </c>
      <c r="T7" s="17">
        <f t="shared" si="1"/>
        <v>81295.86</v>
      </c>
      <c r="U7" s="13">
        <f>+B7-E7-G7-Q7-S7-K7-I7-M7-O7</f>
        <v>-2.2737367544323206E-13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92358.21</v>
      </c>
      <c r="I8" s="20"/>
      <c r="J8" s="21">
        <v>400</v>
      </c>
      <c r="K8" s="20"/>
      <c r="L8" s="21">
        <v>18560</v>
      </c>
      <c r="M8" s="22"/>
      <c r="N8" s="21">
        <v>112111.28</v>
      </c>
      <c r="O8" s="22" t="s">
        <v>19</v>
      </c>
      <c r="P8" s="21">
        <v>0</v>
      </c>
      <c r="Q8" s="20"/>
      <c r="R8" s="21">
        <v>124759</v>
      </c>
      <c r="S8" s="20"/>
      <c r="T8" s="21">
        <v>84136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2840.6499999999942</v>
      </c>
      <c r="S9" s="23"/>
      <c r="T9" s="24">
        <f>+T7-T8</f>
        <v>-2840.1399999999994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0.5099999999802094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91718</v>
      </c>
      <c r="I13" s="41">
        <v>79201</v>
      </c>
      <c r="J13" s="32">
        <v>4457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122144</v>
      </c>
      <c r="I14" s="41">
        <v>89747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45</v>
      </c>
      <c r="B15" s="38" t="s">
        <v>13</v>
      </c>
      <c r="C15" s="31">
        <f t="shared" ref="C15:C21" si="2">+E15/D15</f>
        <v>153.91996452721429</v>
      </c>
      <c r="D15" s="32">
        <v>90.21</v>
      </c>
      <c r="E15" s="43">
        <v>13885.12</v>
      </c>
      <c r="F15" s="38">
        <v>22618</v>
      </c>
      <c r="H15" s="41">
        <v>0</v>
      </c>
      <c r="I15" s="41">
        <v>45058</v>
      </c>
      <c r="J15" s="41"/>
      <c r="K15" s="42">
        <v>16903.240000000002</v>
      </c>
      <c r="L15" s="32">
        <f>+C4</f>
        <v>104.71</v>
      </c>
      <c r="M15" s="32">
        <f>+K15/L15</f>
        <v>161.42908986725243</v>
      </c>
      <c r="P15">
        <v>38634.78</v>
      </c>
      <c r="V15">
        <f>2123+9236+3417.23+18069.1</f>
        <v>32845.33</v>
      </c>
    </row>
    <row r="16" spans="1:24">
      <c r="A16" s="38" t="s">
        <v>42</v>
      </c>
      <c r="B16" s="38" t="s">
        <v>13</v>
      </c>
      <c r="C16" s="31">
        <f t="shared" si="2"/>
        <v>221.70491076377343</v>
      </c>
      <c r="D16" s="32">
        <v>90.21</v>
      </c>
      <c r="E16" s="43">
        <v>20000</v>
      </c>
      <c r="F16" s="38">
        <v>22619</v>
      </c>
      <c r="H16" s="32">
        <f>+H24/C4</f>
        <v>2042.4219272275811</v>
      </c>
      <c r="I16" s="48">
        <f>+I24/C5</f>
        <v>2372.3090566456049</v>
      </c>
      <c r="J16" s="48">
        <f>+J24/C6</f>
        <v>39.512411347517734</v>
      </c>
      <c r="K16" s="42">
        <v>12283.34</v>
      </c>
      <c r="L16" s="32">
        <f>+C5</f>
        <v>90.21</v>
      </c>
      <c r="M16" s="41">
        <f>+K16/L16</f>
        <v>136.16383992905443</v>
      </c>
      <c r="P16">
        <v>68665.22</v>
      </c>
    </row>
    <row r="17" spans="1:16">
      <c r="A17" s="38" t="s">
        <v>49</v>
      </c>
      <c r="B17" s="38" t="s">
        <v>13</v>
      </c>
      <c r="C17" s="31">
        <f t="shared" si="2"/>
        <v>21.209954550493293</v>
      </c>
      <c r="D17" s="32">
        <v>90.21</v>
      </c>
      <c r="E17" s="43">
        <v>1913.35</v>
      </c>
      <c r="F17" s="38">
        <v>22620</v>
      </c>
      <c r="H17" s="30"/>
      <c r="K17" s="41">
        <v>18560</v>
      </c>
      <c r="L17" s="32">
        <f>+C4</f>
        <v>104.71</v>
      </c>
      <c r="M17" s="32">
        <f>+K17/L17</f>
        <v>177.25145640339989</v>
      </c>
      <c r="P17">
        <v>62847.72</v>
      </c>
    </row>
    <row r="18" spans="1:16">
      <c r="A18" s="38" t="s">
        <v>48</v>
      </c>
      <c r="B18" s="38" t="s">
        <v>13</v>
      </c>
      <c r="C18" s="31">
        <f t="shared" si="2"/>
        <v>138.56989247311827</v>
      </c>
      <c r="D18" s="32">
        <v>90.21</v>
      </c>
      <c r="E18" s="43">
        <v>12500.39</v>
      </c>
      <c r="F18" s="38">
        <v>22621</v>
      </c>
      <c r="P18">
        <v>199</v>
      </c>
    </row>
    <row r="19" spans="1:16">
      <c r="A19" s="38" t="s">
        <v>75</v>
      </c>
      <c r="B19" s="38" t="s">
        <v>13</v>
      </c>
      <c r="C19" s="31">
        <f t="shared" si="2"/>
        <v>284.22990799246207</v>
      </c>
      <c r="D19" s="32">
        <v>90.21</v>
      </c>
      <c r="E19" s="43">
        <v>25640.38</v>
      </c>
      <c r="F19" s="38">
        <v>22623</v>
      </c>
      <c r="H19">
        <f>179130.55+24221.9</f>
        <v>203352.44999999998</v>
      </c>
      <c r="K19" s="47">
        <v>95208.04</v>
      </c>
      <c r="L19" s="32">
        <f>+L16</f>
        <v>90.21</v>
      </c>
      <c r="M19" s="41">
        <f>+K19/L19</f>
        <v>1055.4045006096885</v>
      </c>
      <c r="P19">
        <v>163569</v>
      </c>
    </row>
    <row r="20" spans="1:16">
      <c r="A20" s="38" t="s">
        <v>47</v>
      </c>
      <c r="B20" s="38" t="s">
        <v>13</v>
      </c>
      <c r="C20" s="31">
        <f t="shared" si="2"/>
        <v>33.249972286886155</v>
      </c>
      <c r="D20" s="32">
        <v>90.21</v>
      </c>
      <c r="E20" s="43">
        <v>2999.48</v>
      </c>
      <c r="F20" s="38">
        <v>22624</v>
      </c>
      <c r="K20" s="41">
        <f>+M20/L20</f>
        <v>764.72992073345426</v>
      </c>
      <c r="L20" s="32">
        <f>+C4</f>
        <v>104.71</v>
      </c>
      <c r="M20" s="44">
        <v>80074.87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2"/>
        <v>48.299966744263394</v>
      </c>
      <c r="D21" s="32">
        <v>90.21</v>
      </c>
      <c r="E21" s="43">
        <v>4357.1400000000003</v>
      </c>
      <c r="F21" s="38">
        <v>22626</v>
      </c>
      <c r="H21" s="45"/>
      <c r="K21" s="30">
        <f>+N8-K15</f>
        <v>95208.04</v>
      </c>
      <c r="L21" s="32">
        <f>+L16</f>
        <v>90.21</v>
      </c>
      <c r="M21" s="41">
        <f>+K21/L21</f>
        <v>1055.4045006096885</v>
      </c>
    </row>
    <row r="22" spans="1:16">
      <c r="A22" s="38" t="s">
        <v>45</v>
      </c>
      <c r="B22" s="38" t="s">
        <v>13</v>
      </c>
      <c r="C22" s="31">
        <f t="shared" ref="C22:C25" si="3">+E22/D22</f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213862</v>
      </c>
      <c r="I24" s="30">
        <f t="shared" ref="I24:J24" si="5">+I13+I14+I15</f>
        <v>214006</v>
      </c>
      <c r="J24" s="30">
        <f t="shared" si="5"/>
        <v>4457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901.18456933821096</v>
      </c>
      <c r="D26" s="31"/>
      <c r="E26" s="31">
        <f>SUM(E15:E25)</f>
        <v>81295.86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375.62487529098769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4327-F8DF-4615-BB60-A81EE8AD8C41}">
  <dimension ref="A1:X50"/>
  <sheetViews>
    <sheetView workbookViewId="0">
      <selection activeCell="Q4" sqref="Q4:Q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215.74991686065846</v>
      </c>
    </row>
    <row r="4" spans="1:24" s="4" customFormat="1">
      <c r="A4" s="5" t="s">
        <v>14</v>
      </c>
      <c r="B4" s="14">
        <f>H16</f>
        <v>1998.0899627542738</v>
      </c>
      <c r="C4" s="6">
        <v>104.71</v>
      </c>
      <c r="D4" s="7">
        <f>B4*C4</f>
        <v>209220</v>
      </c>
      <c r="E4" s="8">
        <v>0</v>
      </c>
      <c r="F4" s="9">
        <f>+E4*C4</f>
        <v>0</v>
      </c>
      <c r="G4" s="8">
        <f>+K20</f>
        <v>652.2520294145736</v>
      </c>
      <c r="H4" s="9">
        <f>+G4*C4</f>
        <v>68297.31</v>
      </c>
      <c r="I4" s="8">
        <f>J4/C4</f>
        <v>0</v>
      </c>
      <c r="J4" s="9">
        <v>0</v>
      </c>
      <c r="K4" s="10">
        <f>+M17</f>
        <v>43.329194919300932</v>
      </c>
      <c r="L4" s="9">
        <f>+K4*C4</f>
        <v>4537</v>
      </c>
      <c r="M4" s="11">
        <f>+M15</f>
        <v>188.46843663451438</v>
      </c>
      <c r="N4" s="9">
        <f t="shared" ref="N4:N6" si="0">+M4*C4</f>
        <v>19734.53</v>
      </c>
      <c r="O4" s="11"/>
      <c r="P4" s="9">
        <f>+O4*C4</f>
        <v>0</v>
      </c>
      <c r="Q4" s="8">
        <v>1114.0403017858848</v>
      </c>
      <c r="R4" s="9">
        <f>+Q4*C4</f>
        <v>116651.15999999999</v>
      </c>
      <c r="S4" s="12">
        <f>+X4</f>
        <v>0</v>
      </c>
      <c r="T4" s="9">
        <f>+S4*C4</f>
        <v>0</v>
      </c>
      <c r="U4" s="13">
        <f>+B4-E4-G4-Q4-S4-K4-I4-M4-O4</f>
        <v>2.8421709430404007E-14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1523.9219598714112</v>
      </c>
      <c r="C5" s="6">
        <v>90.21</v>
      </c>
      <c r="D5" s="7">
        <f>B5*C5</f>
        <v>137473</v>
      </c>
      <c r="E5" s="8">
        <v>0</v>
      </c>
      <c r="F5" s="9">
        <f>+E5*C5</f>
        <v>0</v>
      </c>
      <c r="G5" s="8">
        <f>+M16</f>
        <v>233.37933710231684</v>
      </c>
      <c r="H5" s="9">
        <f>+G5*C5</f>
        <v>21053.15</v>
      </c>
      <c r="I5" s="8">
        <f>+J8/C5</f>
        <v>5.3209178583305627</v>
      </c>
      <c r="J5" s="9">
        <f>+I5*C5</f>
        <v>480.00000000000006</v>
      </c>
      <c r="K5" s="8">
        <v>0</v>
      </c>
      <c r="L5" s="9">
        <f>+K5*C5</f>
        <v>0</v>
      </c>
      <c r="M5" s="11">
        <f>+M19</f>
        <v>933.22159405830848</v>
      </c>
      <c r="N5" s="9">
        <f t="shared" si="0"/>
        <v>84185.919999999998</v>
      </c>
      <c r="O5" s="11">
        <f>+P8/C5</f>
        <v>0</v>
      </c>
      <c r="P5" s="9">
        <f>+O5*C5</f>
        <v>0</v>
      </c>
      <c r="Q5" s="8">
        <v>136.25019399179678</v>
      </c>
      <c r="R5" s="9">
        <f>+Q5*C5</f>
        <v>12291.129999999986</v>
      </c>
      <c r="S5" s="12">
        <f>+X3</f>
        <v>215.74991686065846</v>
      </c>
      <c r="T5" s="9">
        <f>+S5*C5</f>
        <v>19462.8</v>
      </c>
      <c r="U5" s="13">
        <f>+B5-E5-G5-Q5-S5-K5-I5-M5-O5</f>
        <v>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49.379432624113477</v>
      </c>
      <c r="C6" s="6">
        <v>112.8</v>
      </c>
      <c r="D6" s="7">
        <f>B6*C6</f>
        <v>5570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49.379432624113477</v>
      </c>
      <c r="R6" s="9">
        <f>+Q6*C6</f>
        <v>5570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3571.3913552497984</v>
      </c>
      <c r="C7" s="5"/>
      <c r="D7" s="15">
        <f>SUM(D4:D6)</f>
        <v>352263</v>
      </c>
      <c r="E7" s="16">
        <f>SUM(E4:E6)</f>
        <v>0</v>
      </c>
      <c r="F7" s="17">
        <f>SUM(F4:F6)</f>
        <v>0</v>
      </c>
      <c r="G7" s="16">
        <f t="shared" ref="G7:T7" si="1">SUM(G4:G6)</f>
        <v>885.63136651689047</v>
      </c>
      <c r="H7" s="17">
        <f>SUM(H4:H6)</f>
        <v>89350.459999999992</v>
      </c>
      <c r="I7" s="16">
        <f>SUM(I4:I6)</f>
        <v>5.3209178583305627</v>
      </c>
      <c r="J7" s="17">
        <f t="shared" si="1"/>
        <v>480.00000000000006</v>
      </c>
      <c r="K7" s="16">
        <f t="shared" si="1"/>
        <v>43.329194919300932</v>
      </c>
      <c r="L7" s="17">
        <f t="shared" si="1"/>
        <v>4537</v>
      </c>
      <c r="M7" s="16">
        <f t="shared" si="1"/>
        <v>1121.6900306928228</v>
      </c>
      <c r="N7" s="17">
        <f t="shared" si="1"/>
        <v>103920.45</v>
      </c>
      <c r="O7" s="16">
        <f t="shared" si="1"/>
        <v>0</v>
      </c>
      <c r="P7" s="17">
        <f t="shared" si="1"/>
        <v>0</v>
      </c>
      <c r="Q7" s="16">
        <v>1299.6699284017955</v>
      </c>
      <c r="R7" s="17">
        <f>SUM(R4:R6)</f>
        <v>134512.28999999998</v>
      </c>
      <c r="S7" s="16">
        <f t="shared" si="1"/>
        <v>215.74991686065846</v>
      </c>
      <c r="T7" s="17">
        <f t="shared" si="1"/>
        <v>19462.8</v>
      </c>
      <c r="U7" s="13">
        <f>+B7-E7-G7-Q7-S7-K7-I7-M7-O7</f>
        <v>-4.5474735088646412E-13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89350.46</v>
      </c>
      <c r="I8" s="20"/>
      <c r="J8" s="21">
        <v>480</v>
      </c>
      <c r="K8" s="20"/>
      <c r="L8" s="21">
        <v>4537</v>
      </c>
      <c r="M8" s="22"/>
      <c r="N8" s="21">
        <v>103920.45</v>
      </c>
      <c r="O8" s="22" t="s">
        <v>19</v>
      </c>
      <c r="P8" s="21">
        <v>0</v>
      </c>
      <c r="Q8" s="20"/>
      <c r="R8" s="21">
        <v>133512</v>
      </c>
      <c r="S8" s="20"/>
      <c r="T8" s="21">
        <v>20463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1000.289999999979</v>
      </c>
      <c r="S9" s="23"/>
      <c r="T9" s="24">
        <f>+T7-T8</f>
        <v>-1000.2000000000007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8.9999999981955625E-2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82823</v>
      </c>
      <c r="I13" s="41">
        <v>56353</v>
      </c>
      <c r="J13" s="32">
        <v>5570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126397</v>
      </c>
      <c r="I14" s="41">
        <v>28574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56</v>
      </c>
      <c r="B15" s="38" t="s">
        <v>13</v>
      </c>
      <c r="C15" s="31">
        <f t="shared" ref="C15:C17" si="2">+E15/D15</f>
        <v>44.351623988471346</v>
      </c>
      <c r="D15" s="32">
        <v>90.21</v>
      </c>
      <c r="E15" s="43">
        <v>4000.96</v>
      </c>
      <c r="F15" s="38">
        <v>22627</v>
      </c>
      <c r="H15" s="41">
        <v>0</v>
      </c>
      <c r="I15" s="41">
        <v>52546</v>
      </c>
      <c r="J15" s="41"/>
      <c r="K15" s="42">
        <v>19734.53</v>
      </c>
      <c r="L15" s="32">
        <f>+C4</f>
        <v>104.71</v>
      </c>
      <c r="M15" s="32">
        <f>+K15/L15</f>
        <v>188.46843663451438</v>
      </c>
      <c r="P15">
        <v>38634.78</v>
      </c>
      <c r="V15">
        <f>2123+9236+3417.23+18069.1</f>
        <v>32845.33</v>
      </c>
    </row>
    <row r="16" spans="1:24">
      <c r="A16" s="38" t="s">
        <v>75</v>
      </c>
      <c r="B16" s="38" t="s">
        <v>13</v>
      </c>
      <c r="C16" s="31">
        <f t="shared" si="2"/>
        <v>142.37989136459373</v>
      </c>
      <c r="D16" s="32">
        <v>90.21</v>
      </c>
      <c r="E16" s="43">
        <v>12844.09</v>
      </c>
      <c r="F16" s="38">
        <v>22628</v>
      </c>
      <c r="H16" s="32">
        <f>+H24/C4</f>
        <v>1998.0899627542738</v>
      </c>
      <c r="I16" s="48">
        <f>+I24/C5</f>
        <v>1523.9219598714112</v>
      </c>
      <c r="J16" s="48">
        <f>+J24/C6</f>
        <v>49.379432624113477</v>
      </c>
      <c r="K16" s="42">
        <v>21053.15</v>
      </c>
      <c r="L16" s="32">
        <f>+C5</f>
        <v>90.21</v>
      </c>
      <c r="M16" s="41">
        <f>+K16/L16</f>
        <v>233.37933710231684</v>
      </c>
      <c r="P16">
        <v>68665.22</v>
      </c>
    </row>
    <row r="17" spans="1:16">
      <c r="A17" s="38" t="s">
        <v>45</v>
      </c>
      <c r="B17" s="38" t="s">
        <v>13</v>
      </c>
      <c r="C17" s="31">
        <f t="shared" si="2"/>
        <v>29.018401507593396</v>
      </c>
      <c r="D17" s="32">
        <v>90.21</v>
      </c>
      <c r="E17" s="43">
        <v>2617.75</v>
      </c>
      <c r="F17" s="38">
        <v>22630</v>
      </c>
      <c r="H17" s="30"/>
      <c r="K17" s="41">
        <v>4537</v>
      </c>
      <c r="L17" s="32">
        <f>+C4</f>
        <v>104.71</v>
      </c>
      <c r="M17" s="32">
        <f>+K17/L17</f>
        <v>43.329194919300932</v>
      </c>
      <c r="P17">
        <v>62847.72</v>
      </c>
    </row>
    <row r="18" spans="1:16">
      <c r="A18" s="38" t="s">
        <v>48</v>
      </c>
      <c r="B18" s="38" t="s">
        <v>13</v>
      </c>
      <c r="C18" s="31">
        <f t="shared" ref="C18:C25" si="3">+E18/D18</f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75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84185.919999999998</v>
      </c>
      <c r="L19" s="32">
        <f>+L16</f>
        <v>90.21</v>
      </c>
      <c r="M19" s="41">
        <f>+K19/L19</f>
        <v>933.22159405830848</v>
      </c>
      <c r="P19">
        <v>163569</v>
      </c>
    </row>
    <row r="20" spans="1:16">
      <c r="A20" s="38" t="s">
        <v>47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652.2520294145736</v>
      </c>
      <c r="L20" s="32">
        <f>+C4</f>
        <v>104.71</v>
      </c>
      <c r="M20" s="44">
        <v>68297.31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84185.919999999998</v>
      </c>
      <c r="L21" s="32">
        <f>+L16</f>
        <v>90.21</v>
      </c>
      <c r="M21" s="41">
        <f>+K21/L21</f>
        <v>933.22159405830848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209220</v>
      </c>
      <c r="I24" s="30">
        <f t="shared" ref="I24:J24" si="5">+I13+I14+I15</f>
        <v>137473</v>
      </c>
      <c r="J24" s="30">
        <f t="shared" si="5"/>
        <v>5570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215.74991686065846</v>
      </c>
      <c r="D26" s="31"/>
      <c r="E26" s="31">
        <f>SUM(E15:E25)</f>
        <v>19462.8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186.73151535306508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59F9-3267-49F0-9A10-F16660E7DDDA}">
  <dimension ref="A1:X50"/>
  <sheetViews>
    <sheetView workbookViewId="0">
      <selection activeCell="S17" sqref="S17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673.06462698148766</v>
      </c>
    </row>
    <row r="4" spans="1:24" s="4" customFormat="1">
      <c r="A4" s="5" t="s">
        <v>14</v>
      </c>
      <c r="B4" s="14">
        <f>H16</f>
        <v>1659.2780059211157</v>
      </c>
      <c r="C4" s="6">
        <v>104.71</v>
      </c>
      <c r="D4" s="7">
        <f>B4*C4</f>
        <v>173743</v>
      </c>
      <c r="E4" s="8">
        <v>0</v>
      </c>
      <c r="F4" s="9">
        <f>+E4*C4</f>
        <v>0</v>
      </c>
      <c r="G4" s="8">
        <f>+K20</f>
        <v>710.41514659535869</v>
      </c>
      <c r="H4" s="9">
        <f>+G4*C4</f>
        <v>74387.570000000007</v>
      </c>
      <c r="I4" s="8">
        <f>J4/C4</f>
        <v>0</v>
      </c>
      <c r="J4" s="9">
        <v>0</v>
      </c>
      <c r="K4" s="10">
        <f>+M17</f>
        <v>35.392990163308184</v>
      </c>
      <c r="L4" s="9">
        <f>+K4*C4</f>
        <v>3705.9999999999995</v>
      </c>
      <c r="M4" s="11">
        <f>+M15</f>
        <v>156.49107057587625</v>
      </c>
      <c r="N4" s="9">
        <f t="shared" ref="N4:N6" si="0">+M4*C4</f>
        <v>16386.18</v>
      </c>
      <c r="O4" s="11"/>
      <c r="P4" s="9">
        <f>+O4*C4</f>
        <v>0</v>
      </c>
      <c r="Q4" s="8">
        <v>756.97879858657245</v>
      </c>
      <c r="R4" s="9">
        <f>+Q4*C4</f>
        <v>79263.25</v>
      </c>
      <c r="S4" s="12">
        <f>+X4</f>
        <v>0</v>
      </c>
      <c r="T4" s="9">
        <f>+S4*C4</f>
        <v>0</v>
      </c>
      <c r="U4" s="13">
        <f>+B4-E4-G4-Q4-S4-K4-I4-M4-O4</f>
        <v>8.5265128291212022E-14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1961.5452832280237</v>
      </c>
      <c r="C5" s="6">
        <v>90.21</v>
      </c>
      <c r="D5" s="7">
        <f>B5*C5</f>
        <v>176951</v>
      </c>
      <c r="E5" s="8">
        <v>0</v>
      </c>
      <c r="F5" s="9">
        <f>+E5*C5</f>
        <v>0</v>
      </c>
      <c r="G5" s="8">
        <f>+M16</f>
        <v>151.85711118501277</v>
      </c>
      <c r="H5" s="9">
        <f>+G5*C5</f>
        <v>13699.03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745.77973617115617</v>
      </c>
      <c r="N5" s="9">
        <f t="shared" si="0"/>
        <v>67276.789999999994</v>
      </c>
      <c r="O5" s="11">
        <f>+P8/C5</f>
        <v>0</v>
      </c>
      <c r="P5" s="9">
        <f>+O5*C5</f>
        <v>0</v>
      </c>
      <c r="Q5" s="8">
        <v>390.84380889036697</v>
      </c>
      <c r="R5" s="9">
        <f>+Q5*C5</f>
        <v>35258.020000000004</v>
      </c>
      <c r="S5" s="12">
        <f>+X3</f>
        <v>673.06462698148766</v>
      </c>
      <c r="T5" s="9">
        <f>+S5*C5</f>
        <v>60717.159999999996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11.312056737588653</v>
      </c>
      <c r="C6" s="6">
        <v>112.8</v>
      </c>
      <c r="D6" s="7">
        <f>B6*C6</f>
        <v>1276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11.312056737588653</v>
      </c>
      <c r="R6" s="9">
        <f>+Q6*C6</f>
        <v>1276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3632.1353458867279</v>
      </c>
      <c r="C7" s="5"/>
      <c r="D7" s="15">
        <f>SUM(D4:D6)</f>
        <v>351970</v>
      </c>
      <c r="E7" s="16">
        <f>SUM(E4:E6)</f>
        <v>0</v>
      </c>
      <c r="F7" s="17">
        <f>SUM(F4:F6)</f>
        <v>0</v>
      </c>
      <c r="G7" s="16">
        <f t="shared" ref="G7:T7" si="1">SUM(G4:G6)</f>
        <v>862.27225778037143</v>
      </c>
      <c r="H7" s="17">
        <f>SUM(H4:H6)</f>
        <v>88086.6</v>
      </c>
      <c r="I7" s="16">
        <f>SUM(I4:I6)</f>
        <v>0</v>
      </c>
      <c r="J7" s="17">
        <f t="shared" si="1"/>
        <v>0</v>
      </c>
      <c r="K7" s="16">
        <f t="shared" si="1"/>
        <v>35.392990163308184</v>
      </c>
      <c r="L7" s="17">
        <f t="shared" si="1"/>
        <v>3705.9999999999995</v>
      </c>
      <c r="M7" s="16">
        <f t="shared" si="1"/>
        <v>902.27080674703245</v>
      </c>
      <c r="N7" s="17">
        <f t="shared" si="1"/>
        <v>83662.97</v>
      </c>
      <c r="O7" s="16">
        <f t="shared" si="1"/>
        <v>0</v>
      </c>
      <c r="P7" s="17">
        <f t="shared" si="1"/>
        <v>0</v>
      </c>
      <c r="Q7" s="16">
        <v>1159.1346642145277</v>
      </c>
      <c r="R7" s="17">
        <f>SUM(R4:R6)</f>
        <v>115797.27</v>
      </c>
      <c r="S7" s="16">
        <f t="shared" si="1"/>
        <v>673.06462698148766</v>
      </c>
      <c r="T7" s="17">
        <f t="shared" si="1"/>
        <v>60717.159999999996</v>
      </c>
      <c r="U7" s="13">
        <f>+B7-E7-G7-Q7-S7-K7-I7-M7-O7</f>
        <v>3.4106051316484809E-13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88086.6</v>
      </c>
      <c r="I8" s="20"/>
      <c r="J8" s="21">
        <v>0</v>
      </c>
      <c r="K8" s="20"/>
      <c r="L8" s="21">
        <v>3706</v>
      </c>
      <c r="M8" s="22"/>
      <c r="N8" s="21">
        <v>83662.97</v>
      </c>
      <c r="O8" s="22" t="s">
        <v>19</v>
      </c>
      <c r="P8" s="21">
        <v>0</v>
      </c>
      <c r="Q8" s="20"/>
      <c r="R8" s="21">
        <v>109947</v>
      </c>
      <c r="S8" s="20"/>
      <c r="T8" s="21">
        <v>66567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5850.2700000000041</v>
      </c>
      <c r="S9" s="23"/>
      <c r="T9" s="24">
        <f>+T7-T8</f>
        <v>-5849.8400000000038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0.43000000002211891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79066</v>
      </c>
      <c r="I13" s="41">
        <v>56330</v>
      </c>
      <c r="J13" s="32">
        <v>1276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94677</v>
      </c>
      <c r="I14" s="41">
        <v>17469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51</v>
      </c>
      <c r="B15" s="38" t="s">
        <v>13</v>
      </c>
      <c r="C15" s="31">
        <f t="shared" ref="C15:C21" si="2">+E15/D15</f>
        <v>221.70491076377343</v>
      </c>
      <c r="D15" s="32">
        <v>90.21</v>
      </c>
      <c r="E15" s="43">
        <v>20000</v>
      </c>
      <c r="F15" s="38">
        <v>22631</v>
      </c>
      <c r="H15" s="41">
        <v>0</v>
      </c>
      <c r="I15" s="41">
        <v>103152</v>
      </c>
      <c r="J15" s="41"/>
      <c r="K15" s="42">
        <v>16386.18</v>
      </c>
      <c r="L15" s="32">
        <f>+C4</f>
        <v>104.71</v>
      </c>
      <c r="M15" s="32">
        <f>+K15/L15</f>
        <v>156.49107057587625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130.33998448065626</v>
      </c>
      <c r="D16" s="32">
        <v>90.21</v>
      </c>
      <c r="E16" s="43">
        <v>11757.97</v>
      </c>
      <c r="F16" s="38">
        <v>22632</v>
      </c>
      <c r="H16" s="32">
        <f>+H24/C4</f>
        <v>1659.2780059211157</v>
      </c>
      <c r="I16" s="48">
        <f>+I24/C5</f>
        <v>1961.5452832280237</v>
      </c>
      <c r="J16" s="48">
        <f>+J24/C6</f>
        <v>11.312056737588653</v>
      </c>
      <c r="K16" s="42">
        <v>13699.03</v>
      </c>
      <c r="L16" s="32">
        <f>+C5</f>
        <v>90.21</v>
      </c>
      <c r="M16" s="41">
        <f>+K16/L16</f>
        <v>151.85711118501277</v>
      </c>
      <c r="P16">
        <v>68665.22</v>
      </c>
    </row>
    <row r="17" spans="1:16">
      <c r="A17" s="38" t="s">
        <v>43</v>
      </c>
      <c r="B17" s="38" t="s">
        <v>13</v>
      </c>
      <c r="C17" s="31">
        <f t="shared" si="2"/>
        <v>33.319920186232125</v>
      </c>
      <c r="D17" s="32">
        <v>90.21</v>
      </c>
      <c r="E17" s="43">
        <v>3005.79</v>
      </c>
      <c r="F17" s="38">
        <v>22633</v>
      </c>
      <c r="H17" s="30"/>
      <c r="K17" s="41">
        <v>3706</v>
      </c>
      <c r="L17" s="32">
        <f>+C4</f>
        <v>104.71</v>
      </c>
      <c r="M17" s="32">
        <f>+K17/L17</f>
        <v>35.392990163308184</v>
      </c>
      <c r="P17">
        <v>62847.72</v>
      </c>
    </row>
    <row r="18" spans="1:16">
      <c r="A18" s="38" t="s">
        <v>75</v>
      </c>
      <c r="B18" s="38" t="s">
        <v>13</v>
      </c>
      <c r="C18" s="31">
        <f t="shared" si="2"/>
        <v>86.289990023279017</v>
      </c>
      <c r="D18" s="32">
        <v>90.21</v>
      </c>
      <c r="E18" s="43">
        <v>7784.22</v>
      </c>
      <c r="F18" s="38">
        <v>22634</v>
      </c>
      <c r="P18">
        <v>199</v>
      </c>
    </row>
    <row r="19" spans="1:16">
      <c r="A19" s="38" t="s">
        <v>45</v>
      </c>
      <c r="B19" s="38" t="s">
        <v>13</v>
      </c>
      <c r="C19" s="31">
        <f t="shared" si="2"/>
        <v>22.969958984591511</v>
      </c>
      <c r="D19" s="32">
        <v>90.21</v>
      </c>
      <c r="E19" s="43">
        <v>2072.12</v>
      </c>
      <c r="F19" s="38">
        <v>22635</v>
      </c>
      <c r="H19">
        <f>179130.55+24221.9</f>
        <v>203352.44999999998</v>
      </c>
      <c r="K19" s="47">
        <v>67276.789999999994</v>
      </c>
      <c r="L19" s="32">
        <f>+L16</f>
        <v>90.21</v>
      </c>
      <c r="M19" s="41">
        <f>+K19/L19</f>
        <v>745.77973617115617</v>
      </c>
      <c r="P19">
        <v>163569</v>
      </c>
    </row>
    <row r="20" spans="1:16">
      <c r="A20" s="38" t="s">
        <v>51</v>
      </c>
      <c r="B20" s="38" t="s">
        <v>13</v>
      </c>
      <c r="C20" s="31">
        <f t="shared" si="2"/>
        <v>37.899900232790159</v>
      </c>
      <c r="D20" s="32">
        <v>90.21</v>
      </c>
      <c r="E20" s="43">
        <v>3418.95</v>
      </c>
      <c r="F20" s="38">
        <v>22637</v>
      </c>
      <c r="K20" s="41">
        <f>+M20/L20</f>
        <v>710.41514659535869</v>
      </c>
      <c r="L20" s="32">
        <f>+C4</f>
        <v>104.71</v>
      </c>
      <c r="M20" s="44">
        <v>74387.570000000007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2"/>
        <v>140.53996231016518</v>
      </c>
      <c r="D21" s="32">
        <v>90.21</v>
      </c>
      <c r="E21" s="43">
        <v>12678.11</v>
      </c>
      <c r="F21" s="38">
        <v>22636</v>
      </c>
      <c r="H21" s="45"/>
      <c r="K21" s="30">
        <f>+N8-K15</f>
        <v>67276.790000000008</v>
      </c>
      <c r="L21" s="32">
        <f>+L16</f>
        <v>90.21</v>
      </c>
      <c r="M21" s="41">
        <f>+K21/L21</f>
        <v>745.77973617115629</v>
      </c>
    </row>
    <row r="22" spans="1:16">
      <c r="A22" s="38" t="s">
        <v>45</v>
      </c>
      <c r="B22" s="38" t="s">
        <v>13</v>
      </c>
      <c r="C22" s="31">
        <f t="shared" ref="C22:C25" si="3">+E22/D22</f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173743</v>
      </c>
      <c r="I24" s="30">
        <f t="shared" ref="I24:J24" si="5">+I13+I14+I15</f>
        <v>176951</v>
      </c>
      <c r="J24" s="30">
        <f t="shared" si="5"/>
        <v>1276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673.06462698148766</v>
      </c>
      <c r="D26" s="31"/>
      <c r="E26" s="31">
        <f>SUM(E15:E25)</f>
        <v>60717.16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352.04489524442965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2F57-9DAB-4758-A821-C5EBEF416C19}">
  <dimension ref="A1:X50"/>
  <sheetViews>
    <sheetView workbookViewId="0">
      <selection activeCell="R18" sqref="R1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363.56246535860771</v>
      </c>
    </row>
    <row r="4" spans="1:24" s="4" customFormat="1">
      <c r="A4" s="5" t="s">
        <v>14</v>
      </c>
      <c r="B4" s="14">
        <f>H16</f>
        <v>1634.6289752650177</v>
      </c>
      <c r="C4" s="6">
        <v>104.71</v>
      </c>
      <c r="D4" s="7">
        <f>B4*C4</f>
        <v>171162</v>
      </c>
      <c r="E4" s="8">
        <v>0</v>
      </c>
      <c r="F4" s="9">
        <f>+E4*C4</f>
        <v>0</v>
      </c>
      <c r="G4" s="8">
        <f>+K20</f>
        <v>481.01814535383448</v>
      </c>
      <c r="H4" s="9">
        <f>+G4*C4</f>
        <v>50367.41</v>
      </c>
      <c r="I4" s="8">
        <f>J4/C4</f>
        <v>0</v>
      </c>
      <c r="J4" s="9">
        <v>0</v>
      </c>
      <c r="K4" s="10">
        <f>+M17</f>
        <v>81.654092254798968</v>
      </c>
      <c r="L4" s="9">
        <f>+K4*C4</f>
        <v>8550</v>
      </c>
      <c r="M4" s="11">
        <f>+M15</f>
        <v>243.32613885970778</v>
      </c>
      <c r="N4" s="9">
        <f t="shared" ref="N4:N6" si="0">+M4*C4</f>
        <v>25478.68</v>
      </c>
      <c r="O4" s="11"/>
      <c r="P4" s="9">
        <f>+O4*C4</f>
        <v>0</v>
      </c>
      <c r="Q4" s="8">
        <v>828.63059879667662</v>
      </c>
      <c r="R4" s="9">
        <f>+Q4*C4</f>
        <v>86765.91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1720.1418911428889</v>
      </c>
      <c r="C5" s="6">
        <v>90.21</v>
      </c>
      <c r="D5" s="7">
        <f>B5*C5</f>
        <v>155174</v>
      </c>
      <c r="E5" s="8">
        <v>0</v>
      </c>
      <c r="F5" s="9">
        <f>+E5*C5</f>
        <v>0</v>
      </c>
      <c r="G5" s="8">
        <f>+M16</f>
        <v>57.559028932490854</v>
      </c>
      <c r="H5" s="9">
        <f>+G5*C5</f>
        <v>5192.3999999999996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892.50116395078157</v>
      </c>
      <c r="N5" s="9">
        <f t="shared" si="0"/>
        <v>80512.53</v>
      </c>
      <c r="O5" s="11">
        <f>+P8/C5</f>
        <v>0</v>
      </c>
      <c r="P5" s="9">
        <f>+O5*C5</f>
        <v>0</v>
      </c>
      <c r="Q5" s="8">
        <v>406.51923290100876</v>
      </c>
      <c r="R5" s="9">
        <f>+Q5*C5</f>
        <v>36672.1</v>
      </c>
      <c r="S5" s="12">
        <f>+X3</f>
        <v>363.56246535860771</v>
      </c>
      <c r="T5" s="9">
        <f>+S5*C5</f>
        <v>32796.97</v>
      </c>
      <c r="U5" s="13">
        <f>+B5-E5-G5-Q5-S5-K5-I5-M5-O5</f>
        <v>-1.1368683772161603E-13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26.879432624113477</v>
      </c>
      <c r="C6" s="6">
        <v>112.8</v>
      </c>
      <c r="D6" s="7">
        <f>B6*C6</f>
        <v>3032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26.879432624113477</v>
      </c>
      <c r="R6" s="9">
        <f>+Q6*C6</f>
        <v>3032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3381.65029903202</v>
      </c>
      <c r="C7" s="5"/>
      <c r="D7" s="15">
        <f>SUM(D4:D6)</f>
        <v>329368</v>
      </c>
      <c r="E7" s="16">
        <f>SUM(E4:E6)</f>
        <v>0</v>
      </c>
      <c r="F7" s="17">
        <f>SUM(F4:F6)</f>
        <v>0</v>
      </c>
      <c r="G7" s="16">
        <f t="shared" ref="G7:T7" si="1">SUM(G4:G6)</f>
        <v>538.57717428632532</v>
      </c>
      <c r="H7" s="17">
        <f>SUM(H4:H6)</f>
        <v>55559.810000000005</v>
      </c>
      <c r="I7" s="16">
        <f>SUM(I4:I6)</f>
        <v>0</v>
      </c>
      <c r="J7" s="17">
        <f t="shared" si="1"/>
        <v>0</v>
      </c>
      <c r="K7" s="16">
        <f t="shared" si="1"/>
        <v>81.654092254798968</v>
      </c>
      <c r="L7" s="17">
        <f t="shared" si="1"/>
        <v>8550</v>
      </c>
      <c r="M7" s="16">
        <f t="shared" si="1"/>
        <v>1135.8273028104893</v>
      </c>
      <c r="N7" s="17">
        <f t="shared" si="1"/>
        <v>105991.20999999999</v>
      </c>
      <c r="O7" s="16">
        <f t="shared" si="1"/>
        <v>0</v>
      </c>
      <c r="P7" s="17">
        <f t="shared" si="1"/>
        <v>0</v>
      </c>
      <c r="Q7" s="16">
        <v>1262.0292643217988</v>
      </c>
      <c r="R7" s="17">
        <f>SUM(R4:R6)</f>
        <v>126470.01000000001</v>
      </c>
      <c r="S7" s="16">
        <f t="shared" si="1"/>
        <v>363.56246535860771</v>
      </c>
      <c r="T7" s="17">
        <f t="shared" si="1"/>
        <v>32796.97</v>
      </c>
      <c r="U7" s="13">
        <f>+B7-E7-G7-Q7-S7-K7-I7-M7-O7</f>
        <v>0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55559.81</v>
      </c>
      <c r="I8" s="20"/>
      <c r="J8" s="21">
        <v>0</v>
      </c>
      <c r="K8" s="20"/>
      <c r="L8" s="21">
        <v>8550</v>
      </c>
      <c r="M8" s="22"/>
      <c r="N8" s="21">
        <v>105991.21</v>
      </c>
      <c r="O8" s="22" t="s">
        <v>19</v>
      </c>
      <c r="P8" s="21">
        <v>0</v>
      </c>
      <c r="Q8" s="20"/>
      <c r="R8" s="21">
        <v>122969</v>
      </c>
      <c r="S8" s="20"/>
      <c r="T8" s="21">
        <v>36297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3501.0100000000093</v>
      </c>
      <c r="S9" s="23"/>
      <c r="T9" s="24">
        <f>+T7-T8</f>
        <v>-3500.0299999999988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0.97999999999592546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74683</v>
      </c>
      <c r="I13" s="41">
        <v>63344</v>
      </c>
      <c r="J13" s="32">
        <v>3032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96479</v>
      </c>
      <c r="I14" s="41">
        <v>50126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75</v>
      </c>
      <c r="B15" s="38" t="s">
        <v>13</v>
      </c>
      <c r="C15" s="31">
        <f t="shared" ref="C15:C16" si="2">+E15/D15</f>
        <v>334.62997450393527</v>
      </c>
      <c r="D15" s="32">
        <v>90.21</v>
      </c>
      <c r="E15" s="43">
        <v>30186.97</v>
      </c>
      <c r="F15" s="38">
        <v>22639</v>
      </c>
      <c r="H15" s="41">
        <v>0</v>
      </c>
      <c r="I15" s="41">
        <v>41704</v>
      </c>
      <c r="J15" s="41"/>
      <c r="K15" s="42">
        <v>25478.68</v>
      </c>
      <c r="L15" s="32">
        <f>+C4</f>
        <v>104.71</v>
      </c>
      <c r="M15" s="32">
        <f>+K15/L15</f>
        <v>243.32613885970778</v>
      </c>
      <c r="P15">
        <v>38634.78</v>
      </c>
      <c r="V15">
        <f>2123+9236+3417.23+18069.1</f>
        <v>32845.33</v>
      </c>
    </row>
    <row r="16" spans="1:24">
      <c r="A16" s="38" t="s">
        <v>47</v>
      </c>
      <c r="B16" s="38" t="s">
        <v>13</v>
      </c>
      <c r="C16" s="31">
        <f t="shared" si="2"/>
        <v>28.932490854672434</v>
      </c>
      <c r="D16" s="32">
        <v>90.21</v>
      </c>
      <c r="E16" s="43">
        <v>2610</v>
      </c>
      <c r="F16" s="38">
        <v>22640</v>
      </c>
      <c r="H16" s="32">
        <f>+H24/C4</f>
        <v>1634.6289752650177</v>
      </c>
      <c r="I16" s="48">
        <f>+I24/C5</f>
        <v>1720.1418911428889</v>
      </c>
      <c r="J16" s="48">
        <f>+J24/C6</f>
        <v>26.879432624113477</v>
      </c>
      <c r="K16" s="42">
        <v>5192.3999999999996</v>
      </c>
      <c r="L16" s="32">
        <f>+C5</f>
        <v>90.21</v>
      </c>
      <c r="M16" s="41">
        <f>+K16/L16</f>
        <v>57.559028932490854</v>
      </c>
      <c r="P16">
        <v>68665.22</v>
      </c>
    </row>
    <row r="17" spans="1:16">
      <c r="A17" s="38" t="s">
        <v>43</v>
      </c>
      <c r="B17" s="38" t="s">
        <v>13</v>
      </c>
      <c r="C17" s="31">
        <f t="shared" ref="C17:C25" si="3">+E17/D17</f>
        <v>0</v>
      </c>
      <c r="D17" s="32">
        <v>90.21</v>
      </c>
      <c r="E17" s="43">
        <v>0</v>
      </c>
      <c r="F17" s="38"/>
      <c r="H17" s="30"/>
      <c r="K17" s="41">
        <v>8550</v>
      </c>
      <c r="L17" s="32">
        <f>+C4</f>
        <v>104.71</v>
      </c>
      <c r="M17" s="32">
        <f>+K17/L17</f>
        <v>81.654092254798968</v>
      </c>
      <c r="P17">
        <v>62847.72</v>
      </c>
    </row>
    <row r="18" spans="1:16">
      <c r="A18" s="38" t="s">
        <v>75</v>
      </c>
      <c r="B18" s="38" t="s">
        <v>13</v>
      </c>
      <c r="C18" s="31">
        <f t="shared" si="3"/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45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80512.53</v>
      </c>
      <c r="L19" s="32">
        <f>+L16</f>
        <v>90.21</v>
      </c>
      <c r="M19" s="41">
        <f>+K19/L19</f>
        <v>892.50116395078157</v>
      </c>
      <c r="P19">
        <v>163569</v>
      </c>
    </row>
    <row r="20" spans="1:16">
      <c r="A20" s="38" t="s">
        <v>51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481.01814535383448</v>
      </c>
      <c r="L20" s="32">
        <f>+C4</f>
        <v>104.71</v>
      </c>
      <c r="M20" s="44">
        <v>50367.41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80512.53</v>
      </c>
      <c r="L21" s="32">
        <f>+L16</f>
        <v>90.21</v>
      </c>
      <c r="M21" s="41">
        <f>+K21/L21</f>
        <v>892.50116395078157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171162</v>
      </c>
      <c r="I24" s="30">
        <f t="shared" ref="I24:J24" si="5">+I13+I14+I15</f>
        <v>155174</v>
      </c>
      <c r="J24" s="30">
        <f t="shared" si="5"/>
        <v>3032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363.56246535860771</v>
      </c>
      <c r="D26" s="31"/>
      <c r="E26" s="31">
        <f>SUM(E15:E25)</f>
        <v>32796.97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363.56246535860771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DC3B-4295-4A0C-8B66-EF63D5BACE28}">
  <dimension ref="A1:X50"/>
  <sheetViews>
    <sheetView workbookViewId="0">
      <selection activeCell="K28" sqref="K2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522.66023722425462</v>
      </c>
    </row>
    <row r="4" spans="1:24" s="4" customFormat="1">
      <c r="A4" s="5" t="s">
        <v>14</v>
      </c>
      <c r="B4" s="14">
        <f>H16</f>
        <v>1548.8110018145355</v>
      </c>
      <c r="C4" s="6">
        <v>104.71</v>
      </c>
      <c r="D4" s="7">
        <f>B4*C4</f>
        <v>162176</v>
      </c>
      <c r="E4" s="8">
        <v>0</v>
      </c>
      <c r="F4" s="9">
        <f>+E4*C4</f>
        <v>0</v>
      </c>
      <c r="G4" s="8">
        <f>+K20</f>
        <v>718.30560595931627</v>
      </c>
      <c r="H4" s="9">
        <f>+G4*C4</f>
        <v>75213.78</v>
      </c>
      <c r="I4" s="8">
        <f>J4/C4</f>
        <v>0</v>
      </c>
      <c r="J4" s="9">
        <v>0</v>
      </c>
      <c r="K4" s="10">
        <f>+M17</f>
        <v>104.30808900773566</v>
      </c>
      <c r="L4" s="9">
        <f>+K4*C4</f>
        <v>10922.1</v>
      </c>
      <c r="M4" s="11">
        <f>+M15</f>
        <v>192.35603094260338</v>
      </c>
      <c r="N4" s="9">
        <f t="shared" ref="N4:N6" si="0">+M4*C4</f>
        <v>20141.599999999999</v>
      </c>
      <c r="O4" s="11"/>
      <c r="P4" s="9">
        <f>+O4*C4</f>
        <v>0</v>
      </c>
      <c r="Q4" s="8">
        <v>533.84127590488015</v>
      </c>
      <c r="R4" s="9">
        <f>+Q4*C4</f>
        <v>55898.52</v>
      </c>
      <c r="S4" s="12">
        <f>+X4</f>
        <v>0</v>
      </c>
      <c r="T4" s="9">
        <f>+S4*C4</f>
        <v>0</v>
      </c>
      <c r="U4" s="13">
        <f>+B4-E4-G4-Q4-S4-K4-I4-M4-O4</f>
        <v>8.5265128291212022E-14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1982.3966300853565</v>
      </c>
      <c r="C5" s="6">
        <v>90.21</v>
      </c>
      <c r="D5" s="7">
        <f>B5*C5</f>
        <v>178832</v>
      </c>
      <c r="E5" s="8">
        <v>0</v>
      </c>
      <c r="F5" s="9">
        <f>+E5*C5</f>
        <v>0</v>
      </c>
      <c r="G5" s="8">
        <f>+M16</f>
        <v>37.224254517237561</v>
      </c>
      <c r="H5" s="9">
        <f>+G5*C5</f>
        <v>3358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675.31193880944465</v>
      </c>
      <c r="N5" s="9">
        <f t="shared" si="0"/>
        <v>60919.89</v>
      </c>
      <c r="O5" s="11">
        <f>+P8/C5</f>
        <v>0</v>
      </c>
      <c r="P5" s="9">
        <f>+O5*C5</f>
        <v>0</v>
      </c>
      <c r="Q5" s="8">
        <v>747.20019953441965</v>
      </c>
      <c r="R5" s="9">
        <f>+Q5*C5</f>
        <v>67404.929999999993</v>
      </c>
      <c r="S5" s="12">
        <f>+X3</f>
        <v>522.66023722425462</v>
      </c>
      <c r="T5" s="9">
        <f>+S5*C5</f>
        <v>47149.180000000008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32.00354609929078</v>
      </c>
      <c r="C6" s="6">
        <v>112.8</v>
      </c>
      <c r="D6" s="7">
        <f>B6*C6</f>
        <v>3610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32.00354609929078</v>
      </c>
      <c r="R6" s="9">
        <f>+Q6*C6</f>
        <v>3610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3563.2111779991828</v>
      </c>
      <c r="C7" s="5"/>
      <c r="D7" s="15">
        <f>SUM(D4:D6)</f>
        <v>344618</v>
      </c>
      <c r="E7" s="16">
        <f>SUM(E4:E6)</f>
        <v>0</v>
      </c>
      <c r="F7" s="17">
        <f>SUM(F4:F6)</f>
        <v>0</v>
      </c>
      <c r="G7" s="16">
        <f t="shared" ref="G7:T7" si="1">SUM(G4:G6)</f>
        <v>755.52986047655384</v>
      </c>
      <c r="H7" s="17">
        <f>SUM(H4:H6)</f>
        <v>78571.78</v>
      </c>
      <c r="I7" s="16">
        <f>SUM(I4:I6)</f>
        <v>0</v>
      </c>
      <c r="J7" s="17">
        <f t="shared" si="1"/>
        <v>0</v>
      </c>
      <c r="K7" s="16">
        <f t="shared" si="1"/>
        <v>104.30808900773566</v>
      </c>
      <c r="L7" s="17">
        <f t="shared" si="1"/>
        <v>10922.1</v>
      </c>
      <c r="M7" s="16">
        <f t="shared" si="1"/>
        <v>867.66796975204807</v>
      </c>
      <c r="N7" s="17">
        <f t="shared" si="1"/>
        <v>81061.489999999991</v>
      </c>
      <c r="O7" s="16">
        <f t="shared" si="1"/>
        <v>0</v>
      </c>
      <c r="P7" s="17">
        <f t="shared" si="1"/>
        <v>0</v>
      </c>
      <c r="Q7" s="16">
        <v>1313.0450215385904</v>
      </c>
      <c r="R7" s="17">
        <f>SUM(R4:R6)</f>
        <v>126913.44999999998</v>
      </c>
      <c r="S7" s="16">
        <f t="shared" si="1"/>
        <v>522.66023722425462</v>
      </c>
      <c r="T7" s="17">
        <f t="shared" si="1"/>
        <v>47149.180000000008</v>
      </c>
      <c r="U7" s="13">
        <f>+B7-E7-G7-Q7-S7-K7-I7-M7-O7</f>
        <v>1.1368683772161603E-13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78571.78</v>
      </c>
      <c r="I8" s="20"/>
      <c r="J8" s="21">
        <v>0</v>
      </c>
      <c r="K8" s="20"/>
      <c r="L8" s="21">
        <v>10922.1</v>
      </c>
      <c r="M8" s="22"/>
      <c r="N8" s="21">
        <v>81061.490000000005</v>
      </c>
      <c r="O8" s="22" t="s">
        <v>19</v>
      </c>
      <c r="P8" s="21">
        <v>0</v>
      </c>
      <c r="Q8" s="20"/>
      <c r="R8" s="21">
        <v>115154</v>
      </c>
      <c r="S8" s="20"/>
      <c r="T8" s="21">
        <v>58908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11759.449999999983</v>
      </c>
      <c r="S9" s="23"/>
      <c r="T9" s="24">
        <f>+T7-T8</f>
        <v>-11758.819999999992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0.62999999996100087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74943</v>
      </c>
      <c r="I13" s="41">
        <v>46413</v>
      </c>
      <c r="J13" s="32">
        <v>3610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87233</v>
      </c>
      <c r="I14" s="41">
        <v>25922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75</v>
      </c>
      <c r="B15" s="38" t="s">
        <v>13</v>
      </c>
      <c r="C15" s="31">
        <f t="shared" ref="C15:C17" si="2">+E15/D15</f>
        <v>227.01995344196877</v>
      </c>
      <c r="D15" s="32">
        <v>90.21</v>
      </c>
      <c r="E15" s="43">
        <v>20479.47</v>
      </c>
      <c r="F15" s="38">
        <v>22641</v>
      </c>
      <c r="H15" s="41">
        <v>0</v>
      </c>
      <c r="I15" s="41">
        <v>106497</v>
      </c>
      <c r="J15" s="41"/>
      <c r="K15" s="42">
        <v>20141.599999999999</v>
      </c>
      <c r="L15" s="32">
        <f>+C4</f>
        <v>104.71</v>
      </c>
      <c r="M15" s="32">
        <f>+K15/L15</f>
        <v>192.35603094260338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243.06994789934598</v>
      </c>
      <c r="D16" s="32">
        <v>90.21</v>
      </c>
      <c r="E16" s="43">
        <v>21927.34</v>
      </c>
      <c r="F16" s="38">
        <v>22642</v>
      </c>
      <c r="H16" s="32">
        <f>+H24/C4</f>
        <v>1548.8110018145355</v>
      </c>
      <c r="I16" s="48">
        <f>+I24/C5</f>
        <v>1982.3966300853565</v>
      </c>
      <c r="J16" s="48">
        <f>+J24/C6</f>
        <v>32.00354609929078</v>
      </c>
      <c r="K16" s="42">
        <v>3358</v>
      </c>
      <c r="L16" s="32">
        <f>+C5</f>
        <v>90.21</v>
      </c>
      <c r="M16" s="41">
        <f>+K16/L16</f>
        <v>37.224254517237561</v>
      </c>
      <c r="P16">
        <v>68665.22</v>
      </c>
    </row>
    <row r="17" spans="1:16">
      <c r="A17" s="38" t="s">
        <v>47</v>
      </c>
      <c r="B17" s="38" t="s">
        <v>13</v>
      </c>
      <c r="C17" s="31">
        <f t="shared" si="2"/>
        <v>52.570335882939808</v>
      </c>
      <c r="D17" s="32">
        <v>90.21</v>
      </c>
      <c r="E17" s="43">
        <v>4742.37</v>
      </c>
      <c r="F17" s="38">
        <v>22644</v>
      </c>
      <c r="H17" s="30"/>
      <c r="K17" s="41">
        <v>10922.1</v>
      </c>
      <c r="L17" s="32">
        <f>+C4</f>
        <v>104.71</v>
      </c>
      <c r="M17" s="32">
        <f>+K17/L17</f>
        <v>104.30808900773566</v>
      </c>
      <c r="P17">
        <v>62847.72</v>
      </c>
    </row>
    <row r="18" spans="1:16">
      <c r="A18" s="38" t="s">
        <v>75</v>
      </c>
      <c r="B18" s="38" t="s">
        <v>13</v>
      </c>
      <c r="C18" s="31">
        <f t="shared" ref="C18:C25" si="3">+E18/D18</f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45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60919.89</v>
      </c>
      <c r="L19" s="32">
        <f>+L16</f>
        <v>90.21</v>
      </c>
      <c r="M19" s="41">
        <f>+K19/L19</f>
        <v>675.31193880944465</v>
      </c>
      <c r="P19">
        <v>163569</v>
      </c>
    </row>
    <row r="20" spans="1:16">
      <c r="A20" s="38" t="s">
        <v>51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718.30560595931627</v>
      </c>
      <c r="L20" s="32">
        <f>+C4</f>
        <v>104.71</v>
      </c>
      <c r="M20" s="44">
        <v>75213.78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60919.890000000007</v>
      </c>
      <c r="L21" s="32">
        <f>+L16</f>
        <v>90.21</v>
      </c>
      <c r="M21" s="41">
        <f>+K21/L21</f>
        <v>675.31193880944477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162176</v>
      </c>
      <c r="I24" s="30">
        <f t="shared" ref="I24:J24" si="5">+I13+I14+I15</f>
        <v>178832</v>
      </c>
      <c r="J24" s="30">
        <f t="shared" si="5"/>
        <v>3610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522.66023722425462</v>
      </c>
      <c r="D26" s="31"/>
      <c r="E26" s="31">
        <f>SUM(E15:E25)</f>
        <v>47149.18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470.08990134131477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8234-0C48-4127-828A-879C094F8818}">
  <dimension ref="A1:X50"/>
  <sheetViews>
    <sheetView workbookViewId="0">
      <selection activeCell="R18" sqref="R1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641.13136015962755</v>
      </c>
    </row>
    <row r="4" spans="1:24" s="4" customFormat="1">
      <c r="A4" s="5" t="s">
        <v>14</v>
      </c>
      <c r="B4" s="14">
        <f>H16</f>
        <v>1813.2556584853405</v>
      </c>
      <c r="C4" s="6">
        <v>104.71</v>
      </c>
      <c r="D4" s="7">
        <f>B4*C4</f>
        <v>189866</v>
      </c>
      <c r="E4" s="8">
        <v>0</v>
      </c>
      <c r="F4" s="9">
        <f>+E4*C4</f>
        <v>0</v>
      </c>
      <c r="G4" s="8">
        <f>+K20</f>
        <v>610.22003629070775</v>
      </c>
      <c r="H4" s="9">
        <f>+G4*C4</f>
        <v>63896.140000000007</v>
      </c>
      <c r="I4" s="8">
        <f>J4/C4</f>
        <v>0</v>
      </c>
      <c r="J4" s="9">
        <v>0</v>
      </c>
      <c r="K4" s="10">
        <f>+M17</f>
        <v>21.172762868875946</v>
      </c>
      <c r="L4" s="9">
        <f>+K4*C4</f>
        <v>2217</v>
      </c>
      <c r="M4" s="11">
        <f>+M15</f>
        <v>230.35144685321364</v>
      </c>
      <c r="N4" s="9">
        <f t="shared" ref="N4:N6" si="0">+M4*C4</f>
        <v>24120.1</v>
      </c>
      <c r="O4" s="11"/>
      <c r="P4" s="9">
        <f>+O4*C4</f>
        <v>0</v>
      </c>
      <c r="Q4" s="8">
        <v>951.51141247254304</v>
      </c>
      <c r="R4" s="9">
        <f>+Q4*C4</f>
        <v>99632.75999999998</v>
      </c>
      <c r="S4" s="12">
        <f>+X4</f>
        <v>0</v>
      </c>
      <c r="T4" s="9">
        <f>+S4*C4</f>
        <v>0</v>
      </c>
      <c r="U4" s="13">
        <f>+B4-E4-G4-Q4-S4-K4-I4-M4-O4</f>
        <v>2.8421709430404007E-14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1923.6559139784947</v>
      </c>
      <c r="C5" s="6">
        <v>90.21</v>
      </c>
      <c r="D5" s="7">
        <f>B5*C5</f>
        <v>173533</v>
      </c>
      <c r="E5" s="8">
        <v>0</v>
      </c>
      <c r="F5" s="9">
        <f>+E5*C5</f>
        <v>0</v>
      </c>
      <c r="G5" s="8">
        <f>+M16</f>
        <v>145.06695488305067</v>
      </c>
      <c r="H5" s="9">
        <f>+G5*C5</f>
        <v>13086.49</v>
      </c>
      <c r="I5" s="8">
        <f>+J8/C5</f>
        <v>8.4247866090233909</v>
      </c>
      <c r="J5" s="9">
        <f>+I5*C5</f>
        <v>760</v>
      </c>
      <c r="K5" s="8">
        <v>0</v>
      </c>
      <c r="L5" s="9">
        <f>+K5*C5</f>
        <v>0</v>
      </c>
      <c r="M5" s="11">
        <f>+M19</f>
        <v>599.29431326903887</v>
      </c>
      <c r="N5" s="9">
        <f t="shared" si="0"/>
        <v>54062.339999999989</v>
      </c>
      <c r="O5" s="11">
        <f>+P8/C5</f>
        <v>0</v>
      </c>
      <c r="P5" s="9">
        <f>+O5*C5</f>
        <v>0</v>
      </c>
      <c r="Q5" s="8">
        <v>529.73849905775432</v>
      </c>
      <c r="R5" s="9">
        <f>+Q5*C5</f>
        <v>47787.710000000014</v>
      </c>
      <c r="S5" s="12">
        <f>+X3</f>
        <v>641.13136015962755</v>
      </c>
      <c r="T5" s="9">
        <f>+S5*C5</f>
        <v>57836.46</v>
      </c>
      <c r="U5" s="13">
        <f>+B5-E5-G5-Q5-S5-K5-I5-M5-O5</f>
        <v>0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35.709219858156033</v>
      </c>
      <c r="C6" s="6">
        <v>112.8</v>
      </c>
      <c r="D6" s="7">
        <f>B6*C6</f>
        <v>4028.0000000000005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35.709219858156033</v>
      </c>
      <c r="R6" s="9">
        <f>+Q6*C6</f>
        <v>4028.0000000000005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3772.6207923219908</v>
      </c>
      <c r="C7" s="5"/>
      <c r="D7" s="15">
        <f>SUM(D4:D6)</f>
        <v>367427</v>
      </c>
      <c r="E7" s="16">
        <f>SUM(E4:E6)</f>
        <v>0</v>
      </c>
      <c r="F7" s="17">
        <f>SUM(F4:F6)</f>
        <v>0</v>
      </c>
      <c r="G7" s="16">
        <f t="shared" ref="G7:T7" si="1">SUM(G4:G6)</f>
        <v>755.28699117375845</v>
      </c>
      <c r="H7" s="17">
        <f>SUM(H4:H6)</f>
        <v>76982.63</v>
      </c>
      <c r="I7" s="16">
        <f>SUM(I4:I6)</f>
        <v>8.4247866090233909</v>
      </c>
      <c r="J7" s="17">
        <f t="shared" si="1"/>
        <v>760</v>
      </c>
      <c r="K7" s="16">
        <f t="shared" si="1"/>
        <v>21.172762868875946</v>
      </c>
      <c r="L7" s="17">
        <f t="shared" si="1"/>
        <v>2217</v>
      </c>
      <c r="M7" s="16">
        <f t="shared" si="1"/>
        <v>829.64576012225257</v>
      </c>
      <c r="N7" s="17">
        <f t="shared" si="1"/>
        <v>78182.439999999988</v>
      </c>
      <c r="O7" s="16">
        <f t="shared" si="1"/>
        <v>0</v>
      </c>
      <c r="P7" s="17">
        <f t="shared" si="1"/>
        <v>0</v>
      </c>
      <c r="Q7" s="16">
        <v>1516.9591313884528</v>
      </c>
      <c r="R7" s="17">
        <f>SUM(R4:R6)</f>
        <v>151448.47</v>
      </c>
      <c r="S7" s="16">
        <f t="shared" si="1"/>
        <v>641.13136015962755</v>
      </c>
      <c r="T7" s="17">
        <f t="shared" si="1"/>
        <v>57836.46</v>
      </c>
      <c r="U7" s="13">
        <f>+B7-E7-G7-Q7-S7-K7-I7-M7-O7</f>
        <v>2.2737367544323206E-13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76982.63</v>
      </c>
      <c r="I8" s="20"/>
      <c r="J8" s="21">
        <v>760</v>
      </c>
      <c r="K8" s="20"/>
      <c r="L8" s="21">
        <v>2217</v>
      </c>
      <c r="M8" s="22"/>
      <c r="N8" s="21">
        <v>78182.44</v>
      </c>
      <c r="O8" s="22" t="s">
        <v>19</v>
      </c>
      <c r="P8" s="21">
        <v>0</v>
      </c>
      <c r="Q8" s="20"/>
      <c r="R8" s="21">
        <v>139334</v>
      </c>
      <c r="S8" s="20"/>
      <c r="T8" s="21">
        <v>69950.460000000006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12114.470000000001</v>
      </c>
      <c r="S9" s="23"/>
      <c r="T9" s="24">
        <f>+T7-T8</f>
        <v>-12114.000000000007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0.46999999998661224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80468</v>
      </c>
      <c r="I13" s="41">
        <v>48723</v>
      </c>
      <c r="J13" s="32">
        <v>4028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109398</v>
      </c>
      <c r="I14" s="41">
        <v>69708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44</v>
      </c>
      <c r="B15" s="38" t="s">
        <v>13</v>
      </c>
      <c r="C15" s="31">
        <f t="shared" ref="C15:C18" si="2">+E15/D15</f>
        <v>49.099988914754469</v>
      </c>
      <c r="D15" s="32">
        <v>90.21</v>
      </c>
      <c r="E15" s="43">
        <v>4429.3100000000004</v>
      </c>
      <c r="F15" s="38">
        <v>22646</v>
      </c>
      <c r="H15" s="41">
        <v>0</v>
      </c>
      <c r="I15" s="41">
        <v>55102</v>
      </c>
      <c r="J15" s="41"/>
      <c r="K15" s="42">
        <v>24120.1</v>
      </c>
      <c r="L15" s="32">
        <f>+C4</f>
        <v>104.71</v>
      </c>
      <c r="M15" s="32">
        <f>+K15/L15</f>
        <v>230.35144685321364</v>
      </c>
      <c r="P15">
        <v>38634.78</v>
      </c>
      <c r="V15">
        <f>2123+9236+3417.23+18069.1</f>
        <v>32845.33</v>
      </c>
    </row>
    <row r="16" spans="1:24">
      <c r="A16" s="38" t="s">
        <v>42</v>
      </c>
      <c r="B16" s="38" t="s">
        <v>13</v>
      </c>
      <c r="C16" s="31">
        <f t="shared" si="2"/>
        <v>443.40982152754685</v>
      </c>
      <c r="D16" s="32">
        <v>90.21</v>
      </c>
      <c r="E16" s="43">
        <v>40000</v>
      </c>
      <c r="F16" s="38">
        <v>22647</v>
      </c>
      <c r="H16" s="32">
        <f>+H24/C4</f>
        <v>1813.2556584853405</v>
      </c>
      <c r="I16" s="48">
        <f>+I24/C5</f>
        <v>1923.6559139784947</v>
      </c>
      <c r="J16" s="48">
        <f>+J24/C6</f>
        <v>35.709219858156033</v>
      </c>
      <c r="K16" s="42">
        <v>13086.49</v>
      </c>
      <c r="L16" s="32">
        <f>+C5</f>
        <v>90.21</v>
      </c>
      <c r="M16" s="41">
        <f>+K16/L16</f>
        <v>145.06695488305067</v>
      </c>
      <c r="P16">
        <v>68665.22</v>
      </c>
    </row>
    <row r="17" spans="1:16">
      <c r="A17" s="38" t="s">
        <v>75</v>
      </c>
      <c r="B17" s="38" t="s">
        <v>13</v>
      </c>
      <c r="C17" s="31">
        <f t="shared" si="2"/>
        <v>144.70989912426563</v>
      </c>
      <c r="D17" s="32">
        <v>90.21</v>
      </c>
      <c r="E17" s="43">
        <v>13054.28</v>
      </c>
      <c r="F17" s="38">
        <v>22648</v>
      </c>
      <c r="H17" s="30"/>
      <c r="K17" s="41">
        <v>2217</v>
      </c>
      <c r="L17" s="32">
        <f>+C4</f>
        <v>104.71</v>
      </c>
      <c r="M17" s="32">
        <f>+K17/L17</f>
        <v>21.172762868875946</v>
      </c>
      <c r="P17">
        <v>62847.72</v>
      </c>
    </row>
    <row r="18" spans="1:16">
      <c r="A18" s="38" t="s">
        <v>45</v>
      </c>
      <c r="B18" s="38" t="s">
        <v>13</v>
      </c>
      <c r="C18" s="31">
        <f t="shared" si="2"/>
        <v>3.9116505930606364</v>
      </c>
      <c r="D18" s="32">
        <v>90.21</v>
      </c>
      <c r="E18" s="43">
        <v>352.87</v>
      </c>
      <c r="F18" s="38">
        <v>22650</v>
      </c>
      <c r="P18">
        <v>199</v>
      </c>
    </row>
    <row r="19" spans="1:16">
      <c r="A19" s="38" t="s">
        <v>45</v>
      </c>
      <c r="B19" s="38" t="s">
        <v>13</v>
      </c>
      <c r="C19" s="31">
        <f t="shared" ref="C19:C25" si="3">+E19/D19</f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54062.34</v>
      </c>
      <c r="L19" s="32">
        <f>+L16</f>
        <v>90.21</v>
      </c>
      <c r="M19" s="41">
        <f>+K19/L19</f>
        <v>599.29431326903887</v>
      </c>
      <c r="P19">
        <v>163569</v>
      </c>
    </row>
    <row r="20" spans="1:16">
      <c r="A20" s="38" t="s">
        <v>51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610.22003629070775</v>
      </c>
      <c r="L20" s="32">
        <f>+C4</f>
        <v>104.71</v>
      </c>
      <c r="M20" s="44">
        <v>63896.14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54062.340000000004</v>
      </c>
      <c r="L21" s="32">
        <f>+L16</f>
        <v>90.21</v>
      </c>
      <c r="M21" s="41">
        <f>+K21/L21</f>
        <v>599.29431326903898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189866</v>
      </c>
      <c r="I24" s="30">
        <f t="shared" ref="I24:J24" si="5">+I13+I14+I15</f>
        <v>173533</v>
      </c>
      <c r="J24" s="30">
        <f t="shared" si="5"/>
        <v>4028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641.13136015962755</v>
      </c>
      <c r="D26" s="31"/>
      <c r="E26" s="31">
        <f>SUM(E15:E25)</f>
        <v>57836.46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492.50981044230133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78FE-5D96-448D-80F2-810EE17859F6}">
  <dimension ref="A1:X50"/>
  <sheetViews>
    <sheetView workbookViewId="0">
      <selection activeCell="N22" sqref="N2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>
      <c r="A2" s="64" t="s">
        <v>0</v>
      </c>
      <c r="B2" s="64" t="s">
        <v>1</v>
      </c>
      <c r="C2" s="64" t="s">
        <v>2</v>
      </c>
      <c r="D2" s="65" t="s">
        <v>3</v>
      </c>
      <c r="E2" s="60" t="s">
        <v>4</v>
      </c>
      <c r="F2" s="61"/>
      <c r="G2" s="60" t="s">
        <v>5</v>
      </c>
      <c r="H2" s="61"/>
      <c r="I2" s="60" t="s">
        <v>6</v>
      </c>
      <c r="J2" s="61"/>
      <c r="K2" s="60" t="s">
        <v>7</v>
      </c>
      <c r="L2" s="61"/>
      <c r="M2" s="60" t="s">
        <v>8</v>
      </c>
      <c r="N2" s="61"/>
      <c r="O2" s="62" t="s">
        <v>9</v>
      </c>
      <c r="P2" s="63"/>
      <c r="Q2" s="60" t="s">
        <v>10</v>
      </c>
      <c r="R2" s="61"/>
      <c r="S2" s="60" t="s">
        <v>11</v>
      </c>
      <c r="T2" s="61"/>
      <c r="U2" s="53" t="s">
        <v>12</v>
      </c>
      <c r="W2" s="4"/>
      <c r="X2" s="4"/>
    </row>
    <row r="3" spans="1:24" ht="18.600000000000001">
      <c r="A3" s="64"/>
      <c r="B3" s="64"/>
      <c r="C3" s="64"/>
      <c r="D3" s="65"/>
      <c r="E3" s="2" t="s">
        <v>1</v>
      </c>
      <c r="F3" s="3" t="s">
        <v>3</v>
      </c>
      <c r="G3" s="2" t="s">
        <v>1</v>
      </c>
      <c r="H3" s="3" t="s">
        <v>3</v>
      </c>
      <c r="I3" s="2" t="s">
        <v>1</v>
      </c>
      <c r="J3" s="3" t="s">
        <v>3</v>
      </c>
      <c r="K3" s="2" t="s">
        <v>1</v>
      </c>
      <c r="L3" s="3" t="s">
        <v>3</v>
      </c>
      <c r="M3" s="2" t="s">
        <v>1</v>
      </c>
      <c r="N3" s="3" t="s">
        <v>3</v>
      </c>
      <c r="O3" s="2" t="s">
        <v>1</v>
      </c>
      <c r="P3" s="3" t="s">
        <v>3</v>
      </c>
      <c r="Q3" s="2" t="s">
        <v>1</v>
      </c>
      <c r="R3" s="3" t="s">
        <v>3</v>
      </c>
      <c r="S3" s="2" t="s">
        <v>1</v>
      </c>
      <c r="T3" s="3" t="s">
        <v>3</v>
      </c>
      <c r="U3" s="54"/>
      <c r="W3" s="4" t="s">
        <v>13</v>
      </c>
      <c r="X3" s="4">
        <f>+SUMIFS(C15:C25,B15:B25,W3)</f>
        <v>486.85988249639735</v>
      </c>
    </row>
    <row r="4" spans="1:24" s="4" customFormat="1">
      <c r="A4" s="5" t="s">
        <v>14</v>
      </c>
      <c r="B4" s="14">
        <f>H16</f>
        <v>1862.8879763155383</v>
      </c>
      <c r="C4" s="6">
        <v>104.71</v>
      </c>
      <c r="D4" s="7">
        <f>B4*C4</f>
        <v>195063</v>
      </c>
      <c r="E4" s="8">
        <v>0</v>
      </c>
      <c r="F4" s="9">
        <f>+E4*C4</f>
        <v>0</v>
      </c>
      <c r="G4" s="8">
        <f>+K20</f>
        <v>614.26587718460507</v>
      </c>
      <c r="H4" s="9">
        <f>+G4*C4</f>
        <v>64319.779999999992</v>
      </c>
      <c r="I4" s="8">
        <f>J4/C4</f>
        <v>0</v>
      </c>
      <c r="J4" s="9">
        <v>0</v>
      </c>
      <c r="K4" s="10">
        <f>+M17</f>
        <v>62.907076687995421</v>
      </c>
      <c r="L4" s="9">
        <f>+K4*C4</f>
        <v>6587</v>
      </c>
      <c r="M4" s="11">
        <f>+M15</f>
        <v>406.53032184127596</v>
      </c>
      <c r="N4" s="9">
        <f t="shared" ref="N4:N6" si="0">+M4*C4</f>
        <v>42567.79</v>
      </c>
      <c r="O4" s="11"/>
      <c r="P4" s="9">
        <f>+O4*C4</f>
        <v>0</v>
      </c>
      <c r="Q4" s="8">
        <v>779.18470060166192</v>
      </c>
      <c r="R4" s="9">
        <f>+Q4*C4</f>
        <v>81588.430000000008</v>
      </c>
      <c r="S4" s="12">
        <f>+X4</f>
        <v>0</v>
      </c>
      <c r="T4" s="9">
        <f>+S4*C4</f>
        <v>0</v>
      </c>
      <c r="U4" s="13">
        <f>+B4-E4-G4-Q4-S4-K4-I4-M4-O4</f>
        <v>0</v>
      </c>
      <c r="W4" t="s">
        <v>15</v>
      </c>
      <c r="X4" s="4">
        <f>+SUMIFS(C15:C26,B15:B26,W4)</f>
        <v>0</v>
      </c>
    </row>
    <row r="5" spans="1:24" s="4" customFormat="1">
      <c r="A5" s="5" t="s">
        <v>16</v>
      </c>
      <c r="B5" s="14">
        <f>I16</f>
        <v>1869.2495288770647</v>
      </c>
      <c r="C5" s="6">
        <v>90.21</v>
      </c>
      <c r="D5" s="7">
        <f>B5*C5</f>
        <v>168625</v>
      </c>
      <c r="E5" s="8">
        <v>0</v>
      </c>
      <c r="F5" s="9">
        <f>+E5*C5</f>
        <v>0</v>
      </c>
      <c r="G5" s="8">
        <f>+M16</f>
        <v>57.199866977053546</v>
      </c>
      <c r="H5" s="9">
        <f>+G5*C5</f>
        <v>5160</v>
      </c>
      <c r="I5" s="8">
        <f>+J8/C5</f>
        <v>0</v>
      </c>
      <c r="J5" s="9">
        <f>+I5*C5</f>
        <v>0</v>
      </c>
      <c r="K5" s="8">
        <v>0</v>
      </c>
      <c r="L5" s="9">
        <f>+K5*C5</f>
        <v>0</v>
      </c>
      <c r="M5" s="11">
        <f>+M19</f>
        <v>781.1254849794924</v>
      </c>
      <c r="N5" s="9">
        <f t="shared" si="0"/>
        <v>70465.33</v>
      </c>
      <c r="O5" s="11">
        <f>+P8/C5</f>
        <v>0</v>
      </c>
      <c r="P5" s="9">
        <f>+O5*C5</f>
        <v>0</v>
      </c>
      <c r="Q5" s="8">
        <v>544.10863540627417</v>
      </c>
      <c r="R5" s="9">
        <f>+Q5*C5</f>
        <v>49084.039999999986</v>
      </c>
      <c r="S5" s="12">
        <f>+X3</f>
        <v>486.85988249639735</v>
      </c>
      <c r="T5" s="9">
        <f>+S5*C5</f>
        <v>43919.630000000005</v>
      </c>
      <c r="U5" s="13">
        <f>+B5-E5-G5-Q5-S5-K5-I5-M5-O5</f>
        <v>-4.4340982152903052E-2</v>
      </c>
      <c r="W5" t="s">
        <v>17</v>
      </c>
      <c r="X5" s="4">
        <f>+SUMIFS(C17:C27,B17:B27,W5)</f>
        <v>0</v>
      </c>
    </row>
    <row r="6" spans="1:24" s="4" customFormat="1">
      <c r="A6" s="5" t="s">
        <v>17</v>
      </c>
      <c r="B6" s="14">
        <f>J16</f>
        <v>63.271276595744681</v>
      </c>
      <c r="C6" s="6">
        <v>112.8</v>
      </c>
      <c r="D6" s="7">
        <f>B6*C6</f>
        <v>7137</v>
      </c>
      <c r="E6" s="8">
        <v>0</v>
      </c>
      <c r="F6" s="9">
        <f>+E6*C6</f>
        <v>0</v>
      </c>
      <c r="G6" s="8"/>
      <c r="H6" s="9">
        <f>+G6*C6</f>
        <v>0</v>
      </c>
      <c r="I6" s="8">
        <v>0</v>
      </c>
      <c r="J6" s="9">
        <f>+I6*C6</f>
        <v>0</v>
      </c>
      <c r="K6" s="8">
        <v>0</v>
      </c>
      <c r="L6" s="9">
        <f>+K6*C6</f>
        <v>0</v>
      </c>
      <c r="M6" s="11">
        <v>0</v>
      </c>
      <c r="N6" s="9">
        <f t="shared" si="0"/>
        <v>0</v>
      </c>
      <c r="O6" s="11"/>
      <c r="P6" s="9">
        <f>+O6*C6</f>
        <v>0</v>
      </c>
      <c r="Q6" s="8">
        <v>63.271276595744681</v>
      </c>
      <c r="R6" s="9">
        <f>+Q6*C6</f>
        <v>7137</v>
      </c>
      <c r="S6" s="12">
        <f>+X5</f>
        <v>0</v>
      </c>
      <c r="T6" s="9">
        <f>+S6*C6</f>
        <v>0</v>
      </c>
      <c r="U6" s="13">
        <f>+B6-E6-G6-Q6-S6-K6-I6-M6-O6</f>
        <v>0</v>
      </c>
      <c r="W6"/>
      <c r="X6"/>
    </row>
    <row r="7" spans="1:24" s="4" customFormat="1">
      <c r="A7" s="5"/>
      <c r="B7" s="46">
        <f>SUM(B4:B6)</f>
        <v>3795.4087817883478</v>
      </c>
      <c r="C7" s="5"/>
      <c r="D7" s="15">
        <f>SUM(D4:D6)</f>
        <v>370825</v>
      </c>
      <c r="E7" s="16">
        <f>SUM(E4:E6)</f>
        <v>0</v>
      </c>
      <c r="F7" s="17">
        <f>SUM(F4:F6)</f>
        <v>0</v>
      </c>
      <c r="G7" s="16">
        <f t="shared" ref="G7:T7" si="1">SUM(G4:G6)</f>
        <v>671.46574416165868</v>
      </c>
      <c r="H7" s="17">
        <f>SUM(H4:H6)</f>
        <v>69479.78</v>
      </c>
      <c r="I7" s="16">
        <f>SUM(I4:I6)</f>
        <v>0</v>
      </c>
      <c r="J7" s="17">
        <f t="shared" si="1"/>
        <v>0</v>
      </c>
      <c r="K7" s="16">
        <f t="shared" si="1"/>
        <v>62.907076687995421</v>
      </c>
      <c r="L7" s="17">
        <f t="shared" si="1"/>
        <v>6587</v>
      </c>
      <c r="M7" s="16">
        <f t="shared" si="1"/>
        <v>1187.6558068207682</v>
      </c>
      <c r="N7" s="17">
        <f t="shared" si="1"/>
        <v>113033.12</v>
      </c>
      <c r="O7" s="16">
        <f t="shared" si="1"/>
        <v>0</v>
      </c>
      <c r="P7" s="17">
        <f t="shared" si="1"/>
        <v>0</v>
      </c>
      <c r="Q7" s="16">
        <v>1386.5646126036809</v>
      </c>
      <c r="R7" s="17">
        <f>SUM(R4:R6)</f>
        <v>137809.47</v>
      </c>
      <c r="S7" s="16">
        <f t="shared" si="1"/>
        <v>486.85988249639735</v>
      </c>
      <c r="T7" s="17">
        <f t="shared" si="1"/>
        <v>43919.630000000005</v>
      </c>
      <c r="U7" s="13">
        <f>+B7-E7-G7-Q7-S7-K7-I7-M7-O7</f>
        <v>-4.4340982152789366E-2</v>
      </c>
      <c r="W7"/>
      <c r="X7"/>
    </row>
    <row r="8" spans="1:24" s="4" customFormat="1" ht="15" thickBot="1">
      <c r="A8" s="55" t="s">
        <v>18</v>
      </c>
      <c r="B8" s="56"/>
      <c r="C8" s="18"/>
      <c r="D8" s="19"/>
      <c r="E8" s="20"/>
      <c r="F8" s="21">
        <v>0</v>
      </c>
      <c r="G8" s="20"/>
      <c r="H8" s="21">
        <v>69479.78</v>
      </c>
      <c r="I8" s="20"/>
      <c r="J8" s="21">
        <v>0</v>
      </c>
      <c r="K8" s="20"/>
      <c r="L8" s="21">
        <v>6587</v>
      </c>
      <c r="M8" s="22"/>
      <c r="N8" s="21">
        <v>113033.12</v>
      </c>
      <c r="O8" s="22" t="s">
        <v>19</v>
      </c>
      <c r="P8" s="21">
        <v>0</v>
      </c>
      <c r="Q8" s="20"/>
      <c r="R8" s="21">
        <v>134205</v>
      </c>
      <c r="S8" s="20"/>
      <c r="T8" s="21">
        <v>47520</v>
      </c>
      <c r="U8" s="19"/>
      <c r="W8"/>
      <c r="X8"/>
    </row>
    <row r="9" spans="1:24" ht="15.6" thickTop="1" thickBot="1">
      <c r="A9" s="57" t="s">
        <v>20</v>
      </c>
      <c r="B9" s="58"/>
      <c r="C9" s="58"/>
      <c r="D9" s="23"/>
      <c r="E9" s="23"/>
      <c r="F9" s="24">
        <f>+F7-F8</f>
        <v>0</v>
      </c>
      <c r="G9" s="23"/>
      <c r="H9" s="24">
        <f>+H7-H8</f>
        <v>0</v>
      </c>
      <c r="I9" s="23"/>
      <c r="J9" s="24">
        <f>+J7-J8</f>
        <v>0</v>
      </c>
      <c r="K9" s="23"/>
      <c r="L9" s="24">
        <f>+L7-L8</f>
        <v>0</v>
      </c>
      <c r="M9" s="24"/>
      <c r="N9" s="24">
        <f>+N7-N8</f>
        <v>0</v>
      </c>
      <c r="O9" s="24"/>
      <c r="P9" s="24">
        <f>+P7-P8</f>
        <v>0</v>
      </c>
      <c r="Q9" s="23"/>
      <c r="R9" s="24">
        <f>+R7-R8</f>
        <v>3604.4700000000012</v>
      </c>
      <c r="S9" s="23"/>
      <c r="T9" s="24">
        <f>+T7-T8</f>
        <v>-3600.3699999999953</v>
      </c>
      <c r="U9" s="25"/>
    </row>
    <row r="10" spans="1:24" ht="15" thickTop="1">
      <c r="A10" s="26"/>
      <c r="B10" s="26">
        <v>0</v>
      </c>
      <c r="C10" s="26"/>
      <c r="D10" s="4"/>
      <c r="E10" s="4"/>
      <c r="F10" s="27"/>
      <c r="G10" s="4"/>
      <c r="H10" s="27"/>
      <c r="I10" s="4"/>
      <c r="J10" s="27"/>
      <c r="K10" s="4"/>
      <c r="L10" s="8"/>
      <c r="M10" s="4"/>
      <c r="N10" s="27"/>
      <c r="O10" s="27"/>
      <c r="P10" s="27"/>
      <c r="Q10" s="27"/>
      <c r="R10" s="27"/>
      <c r="S10" s="4"/>
      <c r="T10" s="27"/>
      <c r="U10" s="4"/>
    </row>
    <row r="11" spans="1:24">
      <c r="A11" s="28" t="s">
        <v>21</v>
      </c>
      <c r="D11" s="29">
        <f>+D7-F8-H8-L8-J8-R8-T8-N8-P8</f>
        <v>9.9999999976716936E-2</v>
      </c>
      <c r="F11" s="30"/>
      <c r="M11" s="30"/>
    </row>
    <row r="12" spans="1:24">
      <c r="F12" s="30"/>
      <c r="G12" s="30"/>
      <c r="H12" s="31" t="s">
        <v>14</v>
      </c>
      <c r="I12" s="31" t="s">
        <v>16</v>
      </c>
      <c r="J12" s="31" t="s">
        <v>22</v>
      </c>
    </row>
    <row r="13" spans="1:24">
      <c r="A13" s="59" t="s">
        <v>23</v>
      </c>
      <c r="B13" s="59"/>
      <c r="C13" s="59"/>
      <c r="D13" s="59"/>
      <c r="E13" s="59"/>
      <c r="F13" s="59"/>
      <c r="H13" s="32">
        <v>88463</v>
      </c>
      <c r="I13" s="41">
        <v>75207</v>
      </c>
      <c r="J13" s="32">
        <v>7137</v>
      </c>
      <c r="P13">
        <v>31124</v>
      </c>
    </row>
    <row r="14" spans="1:24">
      <c r="A14" s="31" t="s">
        <v>24</v>
      </c>
      <c r="B14" s="31" t="s">
        <v>25</v>
      </c>
      <c r="C14" s="33" t="s">
        <v>26</v>
      </c>
      <c r="D14" s="33" t="s">
        <v>27</v>
      </c>
      <c r="E14" s="33" t="s">
        <v>28</v>
      </c>
      <c r="F14" s="34" t="s">
        <v>29</v>
      </c>
      <c r="H14" s="32">
        <v>106600</v>
      </c>
      <c r="I14" s="41">
        <v>54373</v>
      </c>
      <c r="J14" s="32"/>
      <c r="K14" s="35" t="s">
        <v>3</v>
      </c>
      <c r="L14" s="36"/>
      <c r="M14" s="36" t="s">
        <v>1</v>
      </c>
      <c r="P14">
        <v>16868.8</v>
      </c>
    </row>
    <row r="15" spans="1:24">
      <c r="A15" s="38" t="s">
        <v>58</v>
      </c>
      <c r="B15" s="38" t="s">
        <v>13</v>
      </c>
      <c r="C15" s="31">
        <f t="shared" ref="C15:C17" si="2">+E15/D15</f>
        <v>36.579980046558035</v>
      </c>
      <c r="D15" s="32">
        <v>90.21</v>
      </c>
      <c r="E15" s="43">
        <v>3299.88</v>
      </c>
      <c r="F15" s="38">
        <v>22651</v>
      </c>
      <c r="H15" s="41">
        <v>0</v>
      </c>
      <c r="I15" s="41">
        <v>39045</v>
      </c>
      <c r="J15" s="41"/>
      <c r="K15" s="42">
        <v>42567.79</v>
      </c>
      <c r="L15" s="32">
        <f>+C4</f>
        <v>104.71</v>
      </c>
      <c r="M15" s="32">
        <f>+K15/L15</f>
        <v>406.53032184127596</v>
      </c>
      <c r="P15">
        <v>38634.78</v>
      </c>
      <c r="V15">
        <f>2123+9236+3417.23+18069.1</f>
        <v>32845.33</v>
      </c>
    </row>
    <row r="16" spans="1:24">
      <c r="A16" s="38" t="s">
        <v>45</v>
      </c>
      <c r="B16" s="38" t="s">
        <v>13</v>
      </c>
      <c r="C16" s="31">
        <f t="shared" si="2"/>
        <v>206.39995565901788</v>
      </c>
      <c r="D16" s="32">
        <v>90.21</v>
      </c>
      <c r="E16" s="43">
        <v>18619.34</v>
      </c>
      <c r="F16" s="38">
        <v>22652</v>
      </c>
      <c r="H16" s="32">
        <f>+H24/C4</f>
        <v>1862.8879763155383</v>
      </c>
      <c r="I16" s="48">
        <f>+I24/C5</f>
        <v>1869.2495288770647</v>
      </c>
      <c r="J16" s="48">
        <f>+J24/C6</f>
        <v>63.271276595744681</v>
      </c>
      <c r="K16" s="42">
        <v>5160</v>
      </c>
      <c r="L16" s="32">
        <f>+C5</f>
        <v>90.21</v>
      </c>
      <c r="M16" s="41">
        <f>+K16/L16</f>
        <v>57.199866977053546</v>
      </c>
      <c r="P16">
        <v>68665.22</v>
      </c>
    </row>
    <row r="17" spans="1:16">
      <c r="A17" s="38" t="s">
        <v>42</v>
      </c>
      <c r="B17" s="38" t="s">
        <v>13</v>
      </c>
      <c r="C17" s="31">
        <f t="shared" si="2"/>
        <v>243.87994679082144</v>
      </c>
      <c r="D17" s="32">
        <v>90.21</v>
      </c>
      <c r="E17" s="43">
        <v>22000.41</v>
      </c>
      <c r="F17" s="38">
        <v>22653</v>
      </c>
      <c r="H17" s="30"/>
      <c r="K17" s="41">
        <v>6587</v>
      </c>
      <c r="L17" s="32">
        <f>+C4</f>
        <v>104.71</v>
      </c>
      <c r="M17" s="32">
        <f>+K17/L17</f>
        <v>62.907076687995421</v>
      </c>
      <c r="P17">
        <v>62847.72</v>
      </c>
    </row>
    <row r="18" spans="1:16">
      <c r="A18" s="38" t="s">
        <v>45</v>
      </c>
      <c r="B18" s="38" t="s">
        <v>13</v>
      </c>
      <c r="C18" s="31">
        <f t="shared" ref="C18:C25" si="3">+E18/D18</f>
        <v>0</v>
      </c>
      <c r="D18" s="32">
        <v>90.21</v>
      </c>
      <c r="E18" s="43">
        <v>0</v>
      </c>
      <c r="F18" s="38"/>
      <c r="P18">
        <v>199</v>
      </c>
    </row>
    <row r="19" spans="1:16">
      <c r="A19" s="38" t="s">
        <v>45</v>
      </c>
      <c r="B19" s="38" t="s">
        <v>13</v>
      </c>
      <c r="C19" s="31">
        <f t="shared" si="3"/>
        <v>0</v>
      </c>
      <c r="D19" s="32">
        <v>90.21</v>
      </c>
      <c r="E19" s="43">
        <v>0</v>
      </c>
      <c r="F19" s="38"/>
      <c r="H19">
        <f>179130.55+24221.9</f>
        <v>203352.44999999998</v>
      </c>
      <c r="K19" s="47">
        <v>70465.33</v>
      </c>
      <c r="L19" s="32">
        <f>+L16</f>
        <v>90.21</v>
      </c>
      <c r="M19" s="41">
        <f>+K19/L19</f>
        <v>781.1254849794924</v>
      </c>
      <c r="P19">
        <v>163569</v>
      </c>
    </row>
    <row r="20" spans="1:16">
      <c r="A20" s="38" t="s">
        <v>51</v>
      </c>
      <c r="B20" s="38" t="s">
        <v>13</v>
      </c>
      <c r="C20" s="31">
        <f t="shared" si="3"/>
        <v>0</v>
      </c>
      <c r="D20" s="32">
        <v>90.21</v>
      </c>
      <c r="E20" s="43">
        <v>0</v>
      </c>
      <c r="F20" s="38"/>
      <c r="K20" s="41">
        <f>+M20/L20</f>
        <v>614.26587718460507</v>
      </c>
      <c r="L20" s="32">
        <f>+C4</f>
        <v>104.71</v>
      </c>
      <c r="M20" s="44">
        <v>64319.78</v>
      </c>
      <c r="P20">
        <f>SUM(P13:P19)</f>
        <v>381908.52</v>
      </c>
    </row>
    <row r="21" spans="1:16">
      <c r="A21" s="38" t="s">
        <v>47</v>
      </c>
      <c r="B21" s="38" t="s">
        <v>13</v>
      </c>
      <c r="C21" s="31">
        <f t="shared" si="3"/>
        <v>0</v>
      </c>
      <c r="D21" s="32">
        <v>90.21</v>
      </c>
      <c r="E21" s="43">
        <v>0</v>
      </c>
      <c r="F21" s="38"/>
      <c r="H21" s="45"/>
      <c r="K21" s="30">
        <f>+N8-K15</f>
        <v>70465.329999999987</v>
      </c>
      <c r="L21" s="32">
        <f>+L16</f>
        <v>90.21</v>
      </c>
      <c r="M21" s="41">
        <f>+K21/L21</f>
        <v>781.12548497949217</v>
      </c>
    </row>
    <row r="22" spans="1:16">
      <c r="A22" s="38" t="s">
        <v>45</v>
      </c>
      <c r="B22" s="38" t="s">
        <v>13</v>
      </c>
      <c r="C22" s="31">
        <f t="shared" si="3"/>
        <v>0</v>
      </c>
      <c r="D22" s="32">
        <v>90.21</v>
      </c>
      <c r="E22" s="43">
        <v>0</v>
      </c>
      <c r="F22" s="38"/>
    </row>
    <row r="23" spans="1:16">
      <c r="A23" s="38" t="s">
        <v>52</v>
      </c>
      <c r="B23" s="38" t="s">
        <v>13</v>
      </c>
      <c r="C23" s="31">
        <f t="shared" si="3"/>
        <v>0</v>
      </c>
      <c r="D23" s="32">
        <v>90.21</v>
      </c>
      <c r="E23" s="43">
        <v>0</v>
      </c>
      <c r="F23" s="38"/>
    </row>
    <row r="24" spans="1:16">
      <c r="A24" s="38"/>
      <c r="B24" s="38" t="s">
        <v>15</v>
      </c>
      <c r="C24" s="31">
        <f t="shared" si="3"/>
        <v>0</v>
      </c>
      <c r="D24" s="32">
        <f t="shared" ref="D24:D25" si="4">+VLOOKUP(B24,A$4:C$6,3,0)</f>
        <v>104.71</v>
      </c>
      <c r="E24" s="31"/>
      <c r="F24" s="32"/>
      <c r="H24" s="30">
        <f>+H13+H14+H15</f>
        <v>195063</v>
      </c>
      <c r="I24" s="30">
        <f t="shared" ref="I24:J24" si="5">+I13+I14+I15</f>
        <v>168625</v>
      </c>
      <c r="J24" s="30">
        <f t="shared" si="5"/>
        <v>7137</v>
      </c>
    </row>
    <row r="25" spans="1:16">
      <c r="A25" s="38"/>
      <c r="B25" s="38" t="s">
        <v>15</v>
      </c>
      <c r="C25" s="31">
        <f t="shared" si="3"/>
        <v>0</v>
      </c>
      <c r="D25" s="32">
        <f t="shared" si="4"/>
        <v>104.71</v>
      </c>
      <c r="E25" s="31"/>
      <c r="F25" s="32"/>
      <c r="H25" s="30"/>
    </row>
    <row r="26" spans="1:16">
      <c r="A26" s="32"/>
      <c r="B26" s="32"/>
      <c r="C26" s="31">
        <f>SUM(C15:C25)</f>
        <v>486.85988249639735</v>
      </c>
      <c r="D26" s="31"/>
      <c r="E26" s="31">
        <f>SUM(E15:E25)</f>
        <v>43919.630000000005</v>
      </c>
      <c r="F26" s="32"/>
      <c r="N26">
        <v>1</v>
      </c>
      <c r="O26" t="s">
        <v>31</v>
      </c>
    </row>
    <row r="27" spans="1:16">
      <c r="H27">
        <f>1037.67*108.45</f>
        <v>112535.31150000001</v>
      </c>
      <c r="N27">
        <v>2</v>
      </c>
      <c r="O27" t="s">
        <v>32</v>
      </c>
      <c r="P27" t="s">
        <v>33</v>
      </c>
    </row>
    <row r="28" spans="1:16">
      <c r="N28">
        <v>3</v>
      </c>
      <c r="O28" t="s">
        <v>34</v>
      </c>
    </row>
    <row r="29" spans="1:16">
      <c r="N29">
        <v>4</v>
      </c>
      <c r="O29" t="s">
        <v>35</v>
      </c>
      <c r="P29" t="s">
        <v>36</v>
      </c>
    </row>
    <row r="30" spans="1:16">
      <c r="N30">
        <v>5</v>
      </c>
      <c r="O30" t="s">
        <v>37</v>
      </c>
      <c r="P30" t="s">
        <v>38</v>
      </c>
    </row>
    <row r="32" spans="1:16">
      <c r="C32">
        <f>+C15+C16</f>
        <v>242.97993570557591</v>
      </c>
    </row>
    <row r="35" spans="8:8">
      <c r="H35" t="s">
        <v>39</v>
      </c>
    </row>
    <row r="50" spans="5:5">
      <c r="E50">
        <v>9</v>
      </c>
    </row>
  </sheetData>
  <mergeCells count="16">
    <mergeCell ref="U2:U3"/>
    <mergeCell ref="A8:B8"/>
    <mergeCell ref="A9:C9"/>
    <mergeCell ref="A13:F13"/>
    <mergeCell ref="I2:J2"/>
    <mergeCell ref="K2:L2"/>
    <mergeCell ref="M2:N2"/>
    <mergeCell ref="O2:P2"/>
    <mergeCell ref="Q2:R2"/>
    <mergeCell ref="S2:T2"/>
    <mergeCell ref="A2:A3"/>
    <mergeCell ref="B2:B3"/>
    <mergeCell ref="C2:C3"/>
    <mergeCell ref="D2:D3"/>
    <mergeCell ref="E2:F2"/>
    <mergeCell ref="G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F577-2B01-4341-85F7-539D64CB08AC}">
  <dimension ref="A3:G162"/>
  <sheetViews>
    <sheetView topLeftCell="A134" workbookViewId="0">
      <selection activeCell="F157" sqref="F157"/>
    </sheetView>
  </sheetViews>
  <sheetFormatPr defaultRowHeight="14.4"/>
  <cols>
    <col min="1" max="1" width="10.6640625" bestFit="1" customWidth="1"/>
    <col min="2" max="2" width="17.88671875" bestFit="1" customWidth="1"/>
    <col min="4" max="4" width="17.5546875" customWidth="1"/>
    <col min="5" max="5" width="22.6640625" customWidth="1"/>
    <col min="6" max="6" width="18" customWidth="1"/>
    <col min="7" max="7" width="11.109375" bestFit="1" customWidth="1"/>
  </cols>
  <sheetData>
    <row r="3" spans="1:7">
      <c r="A3" s="59" t="s">
        <v>23</v>
      </c>
      <c r="B3" s="59"/>
      <c r="C3" s="59"/>
      <c r="D3" s="59"/>
      <c r="E3" s="59"/>
      <c r="F3" s="59"/>
      <c r="G3" s="59"/>
    </row>
    <row r="4" spans="1:7">
      <c r="A4" s="32"/>
      <c r="B4" s="31" t="s">
        <v>24</v>
      </c>
      <c r="C4" s="31" t="s">
        <v>25</v>
      </c>
      <c r="D4" s="33" t="s">
        <v>26</v>
      </c>
      <c r="E4" s="33" t="s">
        <v>27</v>
      </c>
      <c r="F4" s="33" t="s">
        <v>28</v>
      </c>
      <c r="G4" s="34" t="s">
        <v>29</v>
      </c>
    </row>
    <row r="5" spans="1:7">
      <c r="A5" s="50">
        <v>45668</v>
      </c>
      <c r="B5" s="37" t="s">
        <v>45</v>
      </c>
      <c r="C5" s="38" t="s">
        <v>13</v>
      </c>
      <c r="D5" s="31">
        <f t="shared" ref="D5:D90" si="0">+F5/E5</f>
        <v>72.069947899345976</v>
      </c>
      <c r="E5" s="32">
        <v>90.21</v>
      </c>
      <c r="F5" s="39">
        <v>6501.43</v>
      </c>
      <c r="G5" s="38">
        <v>22496</v>
      </c>
    </row>
    <row r="6" spans="1:7">
      <c r="A6" s="50">
        <v>45668</v>
      </c>
      <c r="B6" s="37" t="s">
        <v>49</v>
      </c>
      <c r="C6" s="38" t="s">
        <v>13</v>
      </c>
      <c r="D6" s="31">
        <f t="shared" si="0"/>
        <v>58.199977829508931</v>
      </c>
      <c r="E6" s="32">
        <v>90.21</v>
      </c>
      <c r="F6" s="39">
        <v>5250.22</v>
      </c>
      <c r="G6" s="38">
        <v>22497</v>
      </c>
    </row>
    <row r="7" spans="1:7">
      <c r="A7" s="50">
        <v>45668</v>
      </c>
      <c r="B7" s="37" t="s">
        <v>52</v>
      </c>
      <c r="C7" s="38" t="s">
        <v>13</v>
      </c>
      <c r="D7" s="31">
        <f t="shared" si="0"/>
        <v>101.91996452721429</v>
      </c>
      <c r="E7" s="32">
        <v>90.21</v>
      </c>
      <c r="F7" s="43">
        <v>9194.2000000000007</v>
      </c>
      <c r="G7" s="38">
        <v>22499</v>
      </c>
    </row>
    <row r="8" spans="1:7">
      <c r="A8" s="50"/>
      <c r="B8" s="37" t="s">
        <v>54</v>
      </c>
      <c r="C8" s="38"/>
      <c r="D8" s="31"/>
      <c r="E8" s="32"/>
      <c r="F8" s="43"/>
      <c r="G8" s="38"/>
    </row>
    <row r="9" spans="1:7">
      <c r="A9" s="50">
        <v>45699</v>
      </c>
      <c r="B9" s="37" t="s">
        <v>53</v>
      </c>
      <c r="C9" s="38" t="s">
        <v>13</v>
      </c>
      <c r="D9" s="31">
        <f t="shared" si="0"/>
        <v>254.95998226360715</v>
      </c>
      <c r="E9" s="32">
        <v>90.21</v>
      </c>
      <c r="F9" s="43">
        <v>22999.94</v>
      </c>
      <c r="G9" s="38">
        <v>22500</v>
      </c>
    </row>
    <row r="10" spans="1:7">
      <c r="A10" s="50">
        <v>45699</v>
      </c>
      <c r="B10" s="37" t="s">
        <v>45</v>
      </c>
      <c r="C10" s="38" t="s">
        <v>15</v>
      </c>
      <c r="D10" s="31">
        <f t="shared" si="0"/>
        <v>5.8036803015186784</v>
      </c>
      <c r="E10" s="32">
        <v>90.21</v>
      </c>
      <c r="F10" s="43">
        <v>523.54999999999995</v>
      </c>
      <c r="G10" s="38">
        <v>22501</v>
      </c>
    </row>
    <row r="11" spans="1:7">
      <c r="A11" s="50">
        <v>45699</v>
      </c>
      <c r="B11" s="37" t="s">
        <v>45</v>
      </c>
      <c r="C11" s="38" t="s">
        <v>13</v>
      </c>
      <c r="D11" s="31">
        <f t="shared" si="0"/>
        <v>181.92994124819867</v>
      </c>
      <c r="E11" s="32">
        <v>90.21</v>
      </c>
      <c r="F11" s="43">
        <v>16411.900000000001</v>
      </c>
      <c r="G11" s="38">
        <v>22503</v>
      </c>
    </row>
    <row r="12" spans="1:7">
      <c r="A12" s="50"/>
      <c r="B12" s="37" t="s">
        <v>54</v>
      </c>
      <c r="C12" s="38"/>
      <c r="D12" s="31"/>
      <c r="E12" s="32"/>
      <c r="F12" s="43"/>
      <c r="G12" s="38"/>
    </row>
    <row r="13" spans="1:7">
      <c r="A13" s="50">
        <v>45727</v>
      </c>
      <c r="B13" s="38" t="s">
        <v>45</v>
      </c>
      <c r="C13" s="38" t="s">
        <v>13</v>
      </c>
      <c r="D13" s="31">
        <f>+F13/E13</f>
        <v>30.90998780622991</v>
      </c>
      <c r="E13" s="32">
        <v>90.21</v>
      </c>
      <c r="F13" s="43">
        <v>2788.39</v>
      </c>
      <c r="G13" s="38">
        <v>22504</v>
      </c>
    </row>
    <row r="14" spans="1:7">
      <c r="A14" s="50">
        <v>45727</v>
      </c>
      <c r="B14" s="38" t="s">
        <v>57</v>
      </c>
      <c r="C14" s="38" t="s">
        <v>13</v>
      </c>
      <c r="D14" s="31">
        <f t="shared" ref="D14:D18" si="1">+F14/E14</f>
        <v>221.70491076377343</v>
      </c>
      <c r="E14" s="32">
        <v>90.21</v>
      </c>
      <c r="F14" s="31">
        <v>20000</v>
      </c>
      <c r="G14" s="38">
        <v>22505</v>
      </c>
    </row>
    <row r="15" spans="1:7">
      <c r="A15" s="50">
        <v>45727</v>
      </c>
      <c r="B15" s="38" t="s">
        <v>55</v>
      </c>
      <c r="C15" s="38" t="s">
        <v>13</v>
      </c>
      <c r="D15" s="31">
        <f t="shared" si="1"/>
        <v>44.229907992462039</v>
      </c>
      <c r="E15" s="32">
        <v>90.21</v>
      </c>
      <c r="F15" s="31">
        <v>3989.98</v>
      </c>
      <c r="G15" s="38">
        <v>22506</v>
      </c>
    </row>
    <row r="16" spans="1:7">
      <c r="A16" s="50">
        <v>45727</v>
      </c>
      <c r="B16" s="38" t="s">
        <v>56</v>
      </c>
      <c r="C16" s="38" t="s">
        <v>13</v>
      </c>
      <c r="D16" s="31">
        <f t="shared" si="1"/>
        <v>43.794479547721984</v>
      </c>
      <c r="E16" s="32">
        <v>90.21</v>
      </c>
      <c r="F16" s="31">
        <v>3950.7</v>
      </c>
      <c r="G16" s="38">
        <v>22507</v>
      </c>
    </row>
    <row r="17" spans="1:7">
      <c r="A17" s="50">
        <v>45727</v>
      </c>
      <c r="B17" s="38" t="s">
        <v>47</v>
      </c>
      <c r="C17" s="38" t="s">
        <v>13</v>
      </c>
      <c r="D17" s="31">
        <f t="shared" si="1"/>
        <v>21.172818977940363</v>
      </c>
      <c r="E17" s="32">
        <v>90.21</v>
      </c>
      <c r="F17" s="52">
        <v>1910</v>
      </c>
      <c r="G17" s="38">
        <v>22508</v>
      </c>
    </row>
    <row r="18" spans="1:7">
      <c r="A18" s="50">
        <v>45727</v>
      </c>
      <c r="B18" s="38" t="s">
        <v>47</v>
      </c>
      <c r="C18" s="38" t="s">
        <v>13</v>
      </c>
      <c r="D18" s="31">
        <f t="shared" si="1"/>
        <v>39.809998891475452</v>
      </c>
      <c r="E18" s="32">
        <v>90.21</v>
      </c>
      <c r="F18" s="52">
        <v>3591.26</v>
      </c>
      <c r="G18" s="38">
        <v>22509</v>
      </c>
    </row>
    <row r="19" spans="1:7">
      <c r="A19" s="51"/>
      <c r="B19" s="38" t="s">
        <v>54</v>
      </c>
      <c r="C19" s="38"/>
      <c r="D19" s="31"/>
      <c r="E19" s="32"/>
      <c r="F19" s="52"/>
      <c r="G19" s="38"/>
    </row>
    <row r="20" spans="1:7">
      <c r="A20" s="50">
        <v>45758</v>
      </c>
      <c r="B20" s="38" t="s">
        <v>57</v>
      </c>
      <c r="C20" s="38" t="s">
        <v>13</v>
      </c>
      <c r="D20" s="31">
        <f t="shared" si="0"/>
        <v>221.69992240328125</v>
      </c>
      <c r="E20" s="32">
        <v>90.21</v>
      </c>
      <c r="F20" s="43">
        <v>19999.55</v>
      </c>
      <c r="G20" s="38">
        <v>22510</v>
      </c>
    </row>
    <row r="21" spans="1:7">
      <c r="A21" s="50">
        <v>45758</v>
      </c>
      <c r="B21" s="38" t="s">
        <v>45</v>
      </c>
      <c r="C21" s="38" t="s">
        <v>13</v>
      </c>
      <c r="D21" s="31">
        <f t="shared" si="0"/>
        <v>212.49994457377232</v>
      </c>
      <c r="E21" s="32">
        <v>90.21</v>
      </c>
      <c r="F21" s="43">
        <v>19169.62</v>
      </c>
      <c r="G21" s="38">
        <v>22511</v>
      </c>
    </row>
    <row r="22" spans="1:7">
      <c r="A22" s="50">
        <v>45758</v>
      </c>
      <c r="B22" s="38" t="s">
        <v>57</v>
      </c>
      <c r="C22" s="38" t="s">
        <v>13</v>
      </c>
      <c r="D22" s="31">
        <f t="shared" si="0"/>
        <v>90.349961201640625</v>
      </c>
      <c r="E22" s="32">
        <v>90.21</v>
      </c>
      <c r="F22" s="43">
        <v>8150.47</v>
      </c>
      <c r="G22" s="38">
        <v>22512</v>
      </c>
    </row>
    <row r="23" spans="1:7">
      <c r="A23" s="50">
        <v>45758</v>
      </c>
      <c r="B23" s="38" t="s">
        <v>56</v>
      </c>
      <c r="C23" s="38" t="s">
        <v>13</v>
      </c>
      <c r="D23" s="31">
        <f t="shared" si="0"/>
        <v>32.149983372131693</v>
      </c>
      <c r="E23" s="32">
        <v>90.21</v>
      </c>
      <c r="F23" s="43">
        <v>2900.25</v>
      </c>
      <c r="G23" s="38">
        <v>22513</v>
      </c>
    </row>
    <row r="24" spans="1:7">
      <c r="A24" s="50">
        <v>45758</v>
      </c>
      <c r="B24" s="38" t="s">
        <v>48</v>
      </c>
      <c r="C24" s="38" t="s">
        <v>13</v>
      </c>
      <c r="D24" s="31">
        <f t="shared" si="0"/>
        <v>132.58995676754242</v>
      </c>
      <c r="E24" s="32">
        <v>90.21</v>
      </c>
      <c r="F24" s="43">
        <v>11960.94</v>
      </c>
      <c r="G24" s="38">
        <v>22514</v>
      </c>
    </row>
    <row r="25" spans="1:7">
      <c r="A25" s="50">
        <v>45758</v>
      </c>
      <c r="B25" s="38" t="s">
        <v>58</v>
      </c>
      <c r="C25" s="38" t="s">
        <v>13</v>
      </c>
      <c r="D25" s="31">
        <f t="shared" si="0"/>
        <v>37.689945682296866</v>
      </c>
      <c r="E25" s="32">
        <v>90.21</v>
      </c>
      <c r="F25" s="43">
        <v>3400.01</v>
      </c>
      <c r="G25" s="38">
        <v>22516</v>
      </c>
    </row>
    <row r="26" spans="1:7">
      <c r="A26" s="50"/>
      <c r="B26" s="38" t="s">
        <v>54</v>
      </c>
      <c r="C26" s="38"/>
      <c r="D26" s="31"/>
      <c r="E26" s="32"/>
      <c r="F26" s="43"/>
      <c r="G26" s="38"/>
    </row>
    <row r="27" spans="1:7">
      <c r="A27" s="50">
        <v>45788</v>
      </c>
      <c r="B27" s="38" t="s">
        <v>49</v>
      </c>
      <c r="C27" s="38" t="s">
        <v>13</v>
      </c>
      <c r="D27" s="31">
        <f t="shared" si="0"/>
        <v>91.379891364593718</v>
      </c>
      <c r="E27" s="32">
        <v>90.21</v>
      </c>
      <c r="F27" s="43">
        <v>8243.3799999999992</v>
      </c>
      <c r="G27" s="38">
        <v>22517</v>
      </c>
    </row>
    <row r="28" spans="1:7">
      <c r="A28" s="50">
        <v>45788</v>
      </c>
      <c r="B28" s="38" t="s">
        <v>49</v>
      </c>
      <c r="C28" s="38" t="s">
        <v>13</v>
      </c>
      <c r="D28" s="31">
        <f t="shared" si="0"/>
        <v>50.21993127147767</v>
      </c>
      <c r="E28" s="32">
        <v>90.21</v>
      </c>
      <c r="F28" s="43">
        <v>4530.34</v>
      </c>
      <c r="G28" s="38">
        <v>22518</v>
      </c>
    </row>
    <row r="29" spans="1:7">
      <c r="A29" s="50"/>
      <c r="B29" s="38" t="s">
        <v>54</v>
      </c>
      <c r="C29" s="38"/>
      <c r="D29" s="31"/>
      <c r="E29" s="32"/>
      <c r="F29" s="43"/>
      <c r="G29" s="38"/>
    </row>
    <row r="30" spans="1:7">
      <c r="A30" s="50">
        <v>45819</v>
      </c>
      <c r="B30" s="38" t="s">
        <v>45</v>
      </c>
      <c r="C30" s="38" t="s">
        <v>13</v>
      </c>
      <c r="D30" s="31">
        <f t="shared" si="0"/>
        <v>194.93991796918303</v>
      </c>
      <c r="E30" s="32">
        <v>90.21</v>
      </c>
      <c r="F30" s="43">
        <v>17585.53</v>
      </c>
      <c r="G30" s="38">
        <v>22521</v>
      </c>
    </row>
    <row r="31" spans="1:7">
      <c r="A31" s="50">
        <v>45819</v>
      </c>
      <c r="B31" s="38" t="s">
        <v>49</v>
      </c>
      <c r="C31" s="38" t="s">
        <v>13</v>
      </c>
      <c r="D31" s="31">
        <f t="shared" si="0"/>
        <v>141.50992129475671</v>
      </c>
      <c r="E31" s="32">
        <v>90.21</v>
      </c>
      <c r="F31" s="43">
        <v>12765.61</v>
      </c>
      <c r="G31" s="38">
        <v>22523</v>
      </c>
    </row>
    <row r="32" spans="1:7">
      <c r="A32" s="50">
        <v>45819</v>
      </c>
      <c r="B32" s="38" t="s">
        <v>42</v>
      </c>
      <c r="C32" s="38" t="s">
        <v>13</v>
      </c>
      <c r="D32" s="31">
        <f t="shared" si="0"/>
        <v>218.98991242656029</v>
      </c>
      <c r="E32" s="32">
        <v>90.21</v>
      </c>
      <c r="F32" s="43">
        <v>19755.080000000002</v>
      </c>
      <c r="G32" s="38">
        <v>22525</v>
      </c>
    </row>
    <row r="33" spans="1:7">
      <c r="A33" s="50">
        <v>45819</v>
      </c>
      <c r="B33" s="38" t="s">
        <v>59</v>
      </c>
      <c r="C33" s="38" t="s">
        <v>13</v>
      </c>
      <c r="D33" s="31">
        <f t="shared" si="0"/>
        <v>50</v>
      </c>
      <c r="E33" s="32">
        <v>90.21</v>
      </c>
      <c r="F33" s="43">
        <v>4510.5</v>
      </c>
      <c r="G33" s="38">
        <v>22525</v>
      </c>
    </row>
    <row r="34" spans="1:7">
      <c r="A34" s="50">
        <v>45819</v>
      </c>
      <c r="B34" s="38" t="s">
        <v>47</v>
      </c>
      <c r="C34" s="38" t="s">
        <v>13</v>
      </c>
      <c r="D34" s="31">
        <f t="shared" si="0"/>
        <v>55.429996674426341</v>
      </c>
      <c r="E34" s="32">
        <v>90.21</v>
      </c>
      <c r="F34" s="43">
        <v>5000.34</v>
      </c>
      <c r="G34" s="38">
        <v>22527</v>
      </c>
    </row>
    <row r="35" spans="1:7">
      <c r="A35" s="50"/>
      <c r="B35" s="38" t="s">
        <v>54</v>
      </c>
      <c r="C35" s="38"/>
      <c r="D35" s="31"/>
      <c r="E35" s="32"/>
      <c r="F35" s="43"/>
      <c r="G35" s="38"/>
    </row>
    <row r="36" spans="1:7">
      <c r="A36" s="50">
        <v>45849</v>
      </c>
      <c r="B36" s="38" t="s">
        <v>60</v>
      </c>
      <c r="C36" s="38" t="s">
        <v>13</v>
      </c>
      <c r="D36" s="31">
        <f t="shared" si="0"/>
        <v>158.5299855891808</v>
      </c>
      <c r="E36" s="32">
        <v>90.21</v>
      </c>
      <c r="F36" s="43">
        <v>14300.99</v>
      </c>
      <c r="G36" s="38">
        <v>22529</v>
      </c>
    </row>
    <row r="37" spans="1:7">
      <c r="A37" s="50">
        <v>45849</v>
      </c>
      <c r="B37" s="38" t="s">
        <v>55</v>
      </c>
      <c r="C37" s="38" t="s">
        <v>13</v>
      </c>
      <c r="D37" s="31">
        <f t="shared" si="0"/>
        <v>118.09998891475446</v>
      </c>
      <c r="E37" s="32">
        <v>90.21</v>
      </c>
      <c r="F37" s="43">
        <v>10653.8</v>
      </c>
      <c r="G37" s="38">
        <v>22530</v>
      </c>
    </row>
    <row r="38" spans="1:7">
      <c r="A38" s="50">
        <v>45849</v>
      </c>
      <c r="B38" s="38" t="s">
        <v>49</v>
      </c>
      <c r="C38" s="38" t="s">
        <v>13</v>
      </c>
      <c r="D38" s="31">
        <f t="shared" si="0"/>
        <v>68.729963418689735</v>
      </c>
      <c r="E38" s="32">
        <v>90.21</v>
      </c>
      <c r="F38" s="43">
        <v>6200.13</v>
      </c>
      <c r="G38" s="38">
        <v>22531</v>
      </c>
    </row>
    <row r="39" spans="1:7">
      <c r="A39" s="50">
        <v>45849</v>
      </c>
      <c r="B39" s="38" t="s">
        <v>47</v>
      </c>
      <c r="C39" s="38" t="s">
        <v>13</v>
      </c>
      <c r="D39" s="31">
        <f t="shared" si="0"/>
        <v>55.429996674426341</v>
      </c>
      <c r="E39" s="32">
        <v>90.21</v>
      </c>
      <c r="F39" s="43">
        <v>5000.34</v>
      </c>
      <c r="G39" s="38">
        <v>22532</v>
      </c>
    </row>
    <row r="40" spans="1:7">
      <c r="A40" s="50"/>
      <c r="B40" s="38" t="s">
        <v>54</v>
      </c>
      <c r="C40" s="38"/>
      <c r="D40" s="31"/>
      <c r="E40" s="32"/>
      <c r="F40" s="43"/>
      <c r="G40" s="38"/>
    </row>
    <row r="41" spans="1:7">
      <c r="A41" s="50">
        <v>45880</v>
      </c>
      <c r="B41" s="38" t="s">
        <v>42</v>
      </c>
      <c r="C41" s="38" t="s">
        <v>13</v>
      </c>
      <c r="D41" s="31">
        <f t="shared" si="0"/>
        <v>221.70491076377343</v>
      </c>
      <c r="E41" s="32">
        <v>90.21</v>
      </c>
      <c r="F41" s="43">
        <v>20000</v>
      </c>
      <c r="G41" s="38">
        <v>22535</v>
      </c>
    </row>
    <row r="42" spans="1:7">
      <c r="A42" s="50">
        <v>45880</v>
      </c>
      <c r="B42" s="38" t="s">
        <v>45</v>
      </c>
      <c r="C42" s="38" t="s">
        <v>13</v>
      </c>
      <c r="D42" s="31">
        <f t="shared" si="0"/>
        <v>226.86997006983705</v>
      </c>
      <c r="E42" s="32">
        <v>90.21</v>
      </c>
      <c r="F42" s="43">
        <v>20465.939999999999</v>
      </c>
      <c r="G42" s="38">
        <v>22536</v>
      </c>
    </row>
    <row r="43" spans="1:7">
      <c r="A43" s="50">
        <v>45880</v>
      </c>
      <c r="B43" s="38" t="s">
        <v>49</v>
      </c>
      <c r="C43" s="38" t="s">
        <v>13</v>
      </c>
      <c r="D43" s="31">
        <f t="shared" si="0"/>
        <v>141.98991242656027</v>
      </c>
      <c r="E43" s="32">
        <v>90.21</v>
      </c>
      <c r="F43" s="43">
        <v>12808.91</v>
      </c>
      <c r="G43" s="38">
        <v>22537</v>
      </c>
    </row>
    <row r="44" spans="1:7">
      <c r="A44" s="50">
        <v>45880</v>
      </c>
      <c r="B44" s="38" t="s">
        <v>47</v>
      </c>
      <c r="C44" s="38" t="s">
        <v>13</v>
      </c>
      <c r="D44" s="31">
        <f t="shared" si="0"/>
        <v>35.472785722203753</v>
      </c>
      <c r="E44" s="32">
        <v>90.21</v>
      </c>
      <c r="F44" s="43">
        <v>3200</v>
      </c>
      <c r="G44" s="38">
        <v>22538</v>
      </c>
    </row>
    <row r="45" spans="1:7">
      <c r="A45" s="50">
        <v>45880</v>
      </c>
      <c r="B45" s="38" t="s">
        <v>58</v>
      </c>
      <c r="C45" s="38" t="s">
        <v>13</v>
      </c>
      <c r="D45" s="31">
        <f t="shared" si="0"/>
        <v>36.469903558363818</v>
      </c>
      <c r="E45" s="32">
        <v>90.21</v>
      </c>
      <c r="F45" s="43">
        <v>3289.95</v>
      </c>
      <c r="G45" s="38">
        <v>22539</v>
      </c>
    </row>
    <row r="46" spans="1:7">
      <c r="A46" s="50">
        <v>45880</v>
      </c>
      <c r="B46" s="38" t="s">
        <v>42</v>
      </c>
      <c r="C46" s="38" t="s">
        <v>13</v>
      </c>
      <c r="D46" s="31">
        <f t="shared" si="0"/>
        <v>86.009976720984369</v>
      </c>
      <c r="E46" s="32">
        <v>90.21</v>
      </c>
      <c r="F46" s="43">
        <v>7758.96</v>
      </c>
      <c r="G46" s="38">
        <v>22541</v>
      </c>
    </row>
    <row r="47" spans="1:7">
      <c r="A47" s="50">
        <v>45880</v>
      </c>
      <c r="B47" s="38" t="s">
        <v>47</v>
      </c>
      <c r="C47" s="38" t="s">
        <v>13</v>
      </c>
      <c r="D47" s="31">
        <f t="shared" si="0"/>
        <v>32.379891364593725</v>
      </c>
      <c r="E47" s="32">
        <v>90.21</v>
      </c>
      <c r="F47" s="43">
        <v>2920.99</v>
      </c>
      <c r="G47" s="38">
        <v>22542</v>
      </c>
    </row>
    <row r="48" spans="1:7">
      <c r="A48" s="50">
        <v>45880</v>
      </c>
      <c r="B48" s="38" t="s">
        <v>45</v>
      </c>
      <c r="C48" s="38" t="s">
        <v>13</v>
      </c>
      <c r="D48" s="31">
        <f t="shared" si="0"/>
        <v>5.1420019953441978</v>
      </c>
      <c r="E48" s="32">
        <v>90.21</v>
      </c>
      <c r="F48" s="43">
        <v>463.86</v>
      </c>
      <c r="G48" s="38">
        <v>22543</v>
      </c>
    </row>
    <row r="49" spans="1:7">
      <c r="A49" s="50">
        <v>45880</v>
      </c>
      <c r="B49" s="38" t="s">
        <v>52</v>
      </c>
      <c r="C49" s="38" t="s">
        <v>13</v>
      </c>
      <c r="D49" s="31">
        <f t="shared" si="0"/>
        <v>88.699922403281235</v>
      </c>
      <c r="E49" s="32">
        <v>90.21</v>
      </c>
      <c r="F49" s="43">
        <v>8001.62</v>
      </c>
      <c r="G49" s="38">
        <v>22544</v>
      </c>
    </row>
    <row r="50" spans="1:7">
      <c r="A50" s="50"/>
      <c r="B50" s="38" t="s">
        <v>54</v>
      </c>
      <c r="C50" s="38"/>
      <c r="D50" s="31"/>
      <c r="E50" s="32"/>
      <c r="F50" s="43"/>
      <c r="G50" s="38"/>
    </row>
    <row r="51" spans="1:7">
      <c r="A51" s="50">
        <v>45911</v>
      </c>
      <c r="B51" s="38" t="s">
        <v>47</v>
      </c>
      <c r="C51" s="38" t="s">
        <v>13</v>
      </c>
      <c r="D51" s="31">
        <f t="shared" si="0"/>
        <v>52.389978938033487</v>
      </c>
      <c r="E51" s="32">
        <v>90.21</v>
      </c>
      <c r="F51" s="43">
        <v>4726.1000000000004</v>
      </c>
      <c r="G51" s="38">
        <v>22545</v>
      </c>
    </row>
    <row r="52" spans="1:7">
      <c r="A52" s="50"/>
      <c r="B52" s="38" t="s">
        <v>54</v>
      </c>
      <c r="C52" s="38"/>
      <c r="D52" s="31"/>
      <c r="E52" s="32"/>
      <c r="F52" s="43"/>
      <c r="G52" s="38"/>
    </row>
    <row r="53" spans="1:7">
      <c r="A53" s="50">
        <v>45941</v>
      </c>
      <c r="B53" s="38" t="s">
        <v>58</v>
      </c>
      <c r="C53" s="38" t="s">
        <v>13</v>
      </c>
      <c r="D53" s="31">
        <f t="shared" si="0"/>
        <v>37.689945682296866</v>
      </c>
      <c r="E53" s="32">
        <v>90.21</v>
      </c>
      <c r="F53" s="43">
        <v>3400.01</v>
      </c>
      <c r="G53" s="38">
        <v>22551</v>
      </c>
    </row>
    <row r="54" spans="1:7">
      <c r="A54" s="50">
        <v>45941</v>
      </c>
      <c r="B54" s="38" t="s">
        <v>45</v>
      </c>
      <c r="C54" s="38" t="s">
        <v>13</v>
      </c>
      <c r="D54" s="31">
        <f t="shared" si="0"/>
        <v>217.2699257288549</v>
      </c>
      <c r="E54" s="32">
        <v>90.21</v>
      </c>
      <c r="F54" s="43">
        <v>19599.919999999998</v>
      </c>
      <c r="G54" s="38">
        <v>22547</v>
      </c>
    </row>
    <row r="55" spans="1:7">
      <c r="A55" s="50">
        <v>45941</v>
      </c>
      <c r="B55" s="38" t="s">
        <v>49</v>
      </c>
      <c r="C55" s="38" t="s">
        <v>13</v>
      </c>
      <c r="D55" s="31">
        <f t="shared" si="0"/>
        <v>200.18989025606919</v>
      </c>
      <c r="E55" s="32">
        <v>90.21</v>
      </c>
      <c r="F55" s="43">
        <v>18059.13</v>
      </c>
      <c r="G55" s="38">
        <v>22548</v>
      </c>
    </row>
    <row r="56" spans="1:7">
      <c r="A56" s="50">
        <v>45941</v>
      </c>
      <c r="B56" s="38" t="s">
        <v>48</v>
      </c>
      <c r="C56" s="38" t="s">
        <v>13</v>
      </c>
      <c r="D56" s="31">
        <f t="shared" si="0"/>
        <v>134.48996785278794</v>
      </c>
      <c r="E56" s="32">
        <v>90.21</v>
      </c>
      <c r="F56" s="43">
        <v>12132.34</v>
      </c>
      <c r="G56" s="38">
        <v>22549</v>
      </c>
    </row>
    <row r="57" spans="1:7">
      <c r="A57" s="50"/>
      <c r="B57" s="38" t="s">
        <v>54</v>
      </c>
      <c r="C57" s="38"/>
      <c r="D57" s="31"/>
      <c r="E57" s="32"/>
      <c r="F57" s="43"/>
      <c r="G57" s="38"/>
    </row>
    <row r="58" spans="1:7">
      <c r="A58" s="50">
        <v>45972</v>
      </c>
      <c r="B58" s="38" t="s">
        <v>49</v>
      </c>
      <c r="C58" s="38" t="s">
        <v>13</v>
      </c>
      <c r="D58" s="31">
        <f t="shared" si="0"/>
        <v>226.63995122491963</v>
      </c>
      <c r="E58" s="32">
        <v>90.21</v>
      </c>
      <c r="F58" s="43">
        <v>20445.189999999999</v>
      </c>
      <c r="G58" s="38">
        <v>22559</v>
      </c>
    </row>
    <row r="59" spans="1:7">
      <c r="A59" s="50">
        <v>45972</v>
      </c>
      <c r="B59" s="38" t="s">
        <v>55</v>
      </c>
      <c r="C59" s="38" t="s">
        <v>13</v>
      </c>
      <c r="D59" s="31">
        <f t="shared" si="0"/>
        <v>223.57831725972733</v>
      </c>
      <c r="E59" s="32">
        <v>90.21</v>
      </c>
      <c r="F59" s="43">
        <v>20169</v>
      </c>
      <c r="G59" s="38">
        <v>22552</v>
      </c>
    </row>
    <row r="60" spans="1:7">
      <c r="A60" s="50">
        <v>45972</v>
      </c>
      <c r="B60" s="38" t="s">
        <v>43</v>
      </c>
      <c r="C60" s="38" t="s">
        <v>13</v>
      </c>
      <c r="D60" s="31">
        <f t="shared" si="0"/>
        <v>39.014743376565796</v>
      </c>
      <c r="E60" s="32">
        <v>90.21</v>
      </c>
      <c r="F60" s="43">
        <v>3519.52</v>
      </c>
      <c r="G60" s="38">
        <v>22553</v>
      </c>
    </row>
    <row r="61" spans="1:7">
      <c r="A61" s="50"/>
      <c r="B61" s="38" t="s">
        <v>54</v>
      </c>
      <c r="C61" s="38"/>
      <c r="D61" s="31"/>
      <c r="E61" s="32"/>
      <c r="F61" s="43"/>
      <c r="G61" s="38"/>
    </row>
    <row r="62" spans="1:7">
      <c r="A62" s="50">
        <v>46002</v>
      </c>
      <c r="B62" s="38" t="s">
        <v>45</v>
      </c>
      <c r="C62" s="38" t="s">
        <v>13</v>
      </c>
      <c r="D62" s="31">
        <f t="shared" si="0"/>
        <v>210.1762554040572</v>
      </c>
      <c r="E62" s="32">
        <v>90.21</v>
      </c>
      <c r="F62" s="43">
        <v>18960</v>
      </c>
      <c r="G62" s="38">
        <v>22556</v>
      </c>
    </row>
    <row r="63" spans="1:7">
      <c r="A63" s="50">
        <v>46002</v>
      </c>
      <c r="B63" s="38" t="s">
        <v>42</v>
      </c>
      <c r="C63" s="38" t="s">
        <v>13</v>
      </c>
      <c r="D63" s="31">
        <f t="shared" si="0"/>
        <v>243.87662121715999</v>
      </c>
      <c r="E63" s="32">
        <v>90.21</v>
      </c>
      <c r="F63" s="43">
        <v>22000.11</v>
      </c>
      <c r="G63" s="38">
        <v>22557</v>
      </c>
    </row>
    <row r="64" spans="1:7">
      <c r="A64" s="50">
        <v>46002</v>
      </c>
      <c r="B64" s="38" t="s">
        <v>49</v>
      </c>
      <c r="C64" s="38" t="s">
        <v>13</v>
      </c>
      <c r="D64" s="31">
        <f t="shared" si="0"/>
        <v>170.59217381665005</v>
      </c>
      <c r="E64" s="32">
        <v>90.21</v>
      </c>
      <c r="F64" s="43">
        <v>15389.12</v>
      </c>
      <c r="G64" s="38">
        <v>22558</v>
      </c>
    </row>
    <row r="65" spans="1:7">
      <c r="A65" s="50">
        <v>46002</v>
      </c>
      <c r="B65" s="38" t="s">
        <v>56</v>
      </c>
      <c r="C65" s="38" t="s">
        <v>13</v>
      </c>
      <c r="D65" s="31">
        <f t="shared" si="0"/>
        <v>13.743044008424787</v>
      </c>
      <c r="E65" s="32">
        <v>90.21</v>
      </c>
      <c r="F65" s="43">
        <v>1239.76</v>
      </c>
      <c r="G65" s="38">
        <v>22559</v>
      </c>
    </row>
    <row r="66" spans="1:7">
      <c r="A66" s="50">
        <v>46002</v>
      </c>
      <c r="B66" s="38" t="s">
        <v>42</v>
      </c>
      <c r="C66" s="38" t="s">
        <v>13</v>
      </c>
      <c r="D66" s="31">
        <f t="shared" si="0"/>
        <v>238.21993127147766</v>
      </c>
      <c r="E66" s="32">
        <v>90.21</v>
      </c>
      <c r="F66" s="43">
        <v>21489.82</v>
      </c>
      <c r="G66" s="38">
        <v>22560</v>
      </c>
    </row>
    <row r="67" spans="1:7">
      <c r="A67" s="50"/>
      <c r="B67" s="38" t="s">
        <v>54</v>
      </c>
      <c r="C67" s="38"/>
      <c r="D67" s="31"/>
      <c r="E67" s="32"/>
      <c r="F67" s="43"/>
      <c r="G67" s="38"/>
    </row>
    <row r="68" spans="1:7">
      <c r="A68" s="50" t="s">
        <v>61</v>
      </c>
      <c r="B68" s="38" t="s">
        <v>49</v>
      </c>
      <c r="C68" s="38" t="s">
        <v>13</v>
      </c>
      <c r="D68" s="31">
        <f t="shared" si="0"/>
        <v>216.71998669770539</v>
      </c>
      <c r="E68" s="32">
        <v>90.21</v>
      </c>
      <c r="F68" s="43">
        <v>19550.310000000001</v>
      </c>
      <c r="G68" s="38">
        <v>22563</v>
      </c>
    </row>
    <row r="69" spans="1:7">
      <c r="A69" s="50" t="s">
        <v>61</v>
      </c>
      <c r="B69" s="38" t="s">
        <v>47</v>
      </c>
      <c r="C69" s="38" t="s">
        <v>13</v>
      </c>
      <c r="D69" s="31">
        <f t="shared" si="0"/>
        <v>45.919964527214276</v>
      </c>
      <c r="E69" s="32">
        <v>90.21</v>
      </c>
      <c r="F69" s="43">
        <v>4142.4399999999996</v>
      </c>
      <c r="G69" s="38">
        <v>22564</v>
      </c>
    </row>
    <row r="70" spans="1:7">
      <c r="A70" s="50"/>
      <c r="B70" s="38" t="s">
        <v>54</v>
      </c>
      <c r="C70" s="38"/>
      <c r="D70" s="31"/>
      <c r="E70" s="32"/>
      <c r="F70" s="43"/>
      <c r="G70" s="38"/>
    </row>
    <row r="71" spans="1:7">
      <c r="A71" s="50" t="s">
        <v>62</v>
      </c>
      <c r="B71" s="38" t="s">
        <v>45</v>
      </c>
      <c r="C71" s="38" t="s">
        <v>13</v>
      </c>
      <c r="D71" s="31">
        <f t="shared" si="0"/>
        <v>204.09998891475448</v>
      </c>
      <c r="E71" s="32">
        <v>90.21</v>
      </c>
      <c r="F71" s="43">
        <v>18411.86</v>
      </c>
      <c r="G71" s="38">
        <v>22566</v>
      </c>
    </row>
    <row r="72" spans="1:7">
      <c r="A72" s="50" t="s">
        <v>62</v>
      </c>
      <c r="B72" s="38" t="s">
        <v>47</v>
      </c>
      <c r="C72" s="38" t="s">
        <v>13</v>
      </c>
      <c r="D72" s="31">
        <f t="shared" si="0"/>
        <v>18.589956767542404</v>
      </c>
      <c r="E72" s="32">
        <v>90.21</v>
      </c>
      <c r="F72" s="43">
        <v>1677</v>
      </c>
      <c r="G72" s="38">
        <v>22567</v>
      </c>
    </row>
    <row r="73" spans="1:7">
      <c r="A73" s="50" t="s">
        <v>62</v>
      </c>
      <c r="B73" s="38" t="s">
        <v>49</v>
      </c>
      <c r="C73" s="38" t="s">
        <v>13</v>
      </c>
      <c r="D73" s="31">
        <f t="shared" si="0"/>
        <v>16.649927945904004</v>
      </c>
      <c r="E73" s="32">
        <v>90.21</v>
      </c>
      <c r="F73" s="43">
        <v>1501.99</v>
      </c>
      <c r="G73" s="38">
        <v>22568</v>
      </c>
    </row>
    <row r="74" spans="1:7">
      <c r="A74" s="50" t="s">
        <v>62</v>
      </c>
      <c r="B74" s="38" t="s">
        <v>47</v>
      </c>
      <c r="C74" s="38" t="s">
        <v>13</v>
      </c>
      <c r="D74" s="31">
        <f t="shared" si="0"/>
        <v>38.799911318035697</v>
      </c>
      <c r="E74" s="32">
        <v>90.21</v>
      </c>
      <c r="F74" s="43">
        <v>3500.14</v>
      </c>
      <c r="G74" s="38">
        <v>22563</v>
      </c>
    </row>
    <row r="75" spans="1:7">
      <c r="A75" s="50" t="s">
        <v>62</v>
      </c>
      <c r="B75" s="38" t="s">
        <v>49</v>
      </c>
      <c r="C75" s="38" t="s">
        <v>13</v>
      </c>
      <c r="D75" s="31">
        <f t="shared" si="0"/>
        <v>20.619997782950897</v>
      </c>
      <c r="E75" s="32">
        <v>90.21</v>
      </c>
      <c r="F75" s="43">
        <v>1860.13</v>
      </c>
      <c r="G75" s="38">
        <v>22570</v>
      </c>
    </row>
    <row r="76" spans="1:7">
      <c r="A76" s="50"/>
      <c r="B76" s="38" t="s">
        <v>54</v>
      </c>
      <c r="C76" s="38"/>
      <c r="D76" s="31"/>
      <c r="E76" s="32"/>
      <c r="F76" s="43"/>
      <c r="G76" s="38"/>
    </row>
    <row r="77" spans="1:7">
      <c r="A77" s="50" t="s">
        <v>63</v>
      </c>
      <c r="B77" s="38" t="s">
        <v>42</v>
      </c>
      <c r="C77" s="38" t="s">
        <v>13</v>
      </c>
      <c r="D77" s="31">
        <f t="shared" si="0"/>
        <v>199.53441968739608</v>
      </c>
      <c r="E77" s="32">
        <v>90.21</v>
      </c>
      <c r="F77" s="43">
        <v>18000</v>
      </c>
      <c r="G77" s="38">
        <v>22572</v>
      </c>
    </row>
    <row r="78" spans="1:7">
      <c r="A78" s="50" t="s">
        <v>63</v>
      </c>
      <c r="B78" s="38" t="s">
        <v>49</v>
      </c>
      <c r="C78" s="38" t="s">
        <v>13</v>
      </c>
      <c r="D78" s="31">
        <f t="shared" si="0"/>
        <v>182.90998780622994</v>
      </c>
      <c r="E78" s="32">
        <v>90.21</v>
      </c>
      <c r="F78" s="43">
        <v>16500.310000000001</v>
      </c>
      <c r="G78" s="38">
        <v>22573</v>
      </c>
    </row>
    <row r="79" spans="1:7">
      <c r="A79" s="50" t="s">
        <v>63</v>
      </c>
      <c r="B79" s="38" t="s">
        <v>49</v>
      </c>
      <c r="C79" s="38" t="s">
        <v>13</v>
      </c>
      <c r="D79" s="31">
        <f t="shared" si="0"/>
        <v>330.34996120164061</v>
      </c>
      <c r="E79" s="32">
        <v>90.21</v>
      </c>
      <c r="F79" s="43">
        <v>29800.87</v>
      </c>
      <c r="G79" s="38">
        <v>22574</v>
      </c>
    </row>
    <row r="80" spans="1:7">
      <c r="A80" s="50" t="s">
        <v>63</v>
      </c>
      <c r="B80" s="38" t="s">
        <v>45</v>
      </c>
      <c r="C80" s="38" t="s">
        <v>13</v>
      </c>
      <c r="D80" s="31">
        <f t="shared" si="0"/>
        <v>45.45438421461035</v>
      </c>
      <c r="E80" s="32">
        <v>90.21</v>
      </c>
      <c r="F80" s="43">
        <v>4100.4399999999996</v>
      </c>
      <c r="G80" s="38">
        <v>22576</v>
      </c>
    </row>
    <row r="81" spans="1:7">
      <c r="A81" s="50"/>
      <c r="B81" s="38" t="s">
        <v>54</v>
      </c>
      <c r="C81" s="38"/>
      <c r="D81" s="31"/>
      <c r="E81" s="32"/>
      <c r="F81" s="43"/>
      <c r="G81" s="38"/>
    </row>
    <row r="82" spans="1:7">
      <c r="A82" s="50" t="s">
        <v>64</v>
      </c>
      <c r="B82" s="38" t="s">
        <v>45</v>
      </c>
      <c r="C82" s="38" t="s">
        <v>13</v>
      </c>
      <c r="D82" s="31">
        <f t="shared" si="0"/>
        <v>208.35993792262502</v>
      </c>
      <c r="E82" s="32">
        <v>90.21</v>
      </c>
      <c r="F82" s="43">
        <v>18796.150000000001</v>
      </c>
      <c r="G82" s="38">
        <v>22577</v>
      </c>
    </row>
    <row r="83" spans="1:7">
      <c r="A83" s="50" t="s">
        <v>64</v>
      </c>
      <c r="B83" s="38" t="s">
        <v>42</v>
      </c>
      <c r="C83" s="38" t="s">
        <v>13</v>
      </c>
      <c r="D83" s="31">
        <f t="shared" si="0"/>
        <v>19.953441968739607</v>
      </c>
      <c r="E83" s="32">
        <v>90.21</v>
      </c>
      <c r="F83" s="43">
        <v>1800</v>
      </c>
      <c r="G83" s="38">
        <v>22578</v>
      </c>
    </row>
    <row r="84" spans="1:7">
      <c r="A84" s="50" t="s">
        <v>64</v>
      </c>
      <c r="B84" s="38" t="s">
        <v>49</v>
      </c>
      <c r="C84" s="38" t="s">
        <v>13</v>
      </c>
      <c r="D84" s="31">
        <f t="shared" si="0"/>
        <v>134.57998004655803</v>
      </c>
      <c r="E84" s="32">
        <v>90.21</v>
      </c>
      <c r="F84" s="43">
        <v>12140.46</v>
      </c>
      <c r="G84" s="38">
        <v>22579</v>
      </c>
    </row>
    <row r="85" spans="1:7">
      <c r="A85" s="50" t="s">
        <v>64</v>
      </c>
      <c r="B85" s="38" t="s">
        <v>52</v>
      </c>
      <c r="C85" s="38" t="s">
        <v>13</v>
      </c>
      <c r="D85" s="31">
        <f t="shared" si="0"/>
        <v>110.84990577541294</v>
      </c>
      <c r="E85" s="32">
        <v>90.21</v>
      </c>
      <c r="F85" s="43">
        <v>9999.77</v>
      </c>
      <c r="G85" s="38">
        <v>22580</v>
      </c>
    </row>
    <row r="86" spans="1:7">
      <c r="A86" s="50" t="s">
        <v>64</v>
      </c>
      <c r="B86" s="38" t="s">
        <v>47</v>
      </c>
      <c r="C86" s="38" t="s">
        <v>13</v>
      </c>
      <c r="D86" s="31">
        <f t="shared" si="0"/>
        <v>34.519898015741049</v>
      </c>
      <c r="E86" s="32">
        <v>90.21</v>
      </c>
      <c r="F86" s="43">
        <v>3114.04</v>
      </c>
      <c r="G86" s="38">
        <v>22581</v>
      </c>
    </row>
    <row r="87" spans="1:7">
      <c r="A87" s="50"/>
      <c r="B87" s="38" t="s">
        <v>54</v>
      </c>
      <c r="C87" s="38"/>
      <c r="D87" s="31"/>
      <c r="E87" s="32"/>
      <c r="F87" s="43"/>
      <c r="G87" s="38"/>
    </row>
    <row r="88" spans="1:7">
      <c r="A88" s="50" t="s">
        <v>65</v>
      </c>
      <c r="B88" s="38" t="s">
        <v>56</v>
      </c>
      <c r="C88" s="38" t="s">
        <v>13</v>
      </c>
      <c r="D88" s="31">
        <f t="shared" si="0"/>
        <v>35.34430772641614</v>
      </c>
      <c r="E88" s="32">
        <v>90.21</v>
      </c>
      <c r="F88" s="43">
        <v>3188.41</v>
      </c>
      <c r="G88" s="38">
        <v>22582</v>
      </c>
    </row>
    <row r="89" spans="1:7">
      <c r="A89" s="50" t="s">
        <v>65</v>
      </c>
      <c r="B89" s="38" t="s">
        <v>48</v>
      </c>
      <c r="C89" s="38" t="s">
        <v>13</v>
      </c>
      <c r="D89" s="31">
        <f t="shared" si="0"/>
        <v>142.69992240328122</v>
      </c>
      <c r="E89" s="32">
        <v>90.21</v>
      </c>
      <c r="F89" s="43">
        <v>12872.96</v>
      </c>
      <c r="G89" s="38">
        <v>22583</v>
      </c>
    </row>
    <row r="90" spans="1:7">
      <c r="A90" s="50" t="s">
        <v>65</v>
      </c>
      <c r="B90" s="38" t="s">
        <v>47</v>
      </c>
      <c r="C90" s="38" t="s">
        <v>13</v>
      </c>
      <c r="D90" s="31">
        <f t="shared" si="0"/>
        <v>21.989912426560249</v>
      </c>
      <c r="E90" s="32">
        <v>90.21</v>
      </c>
      <c r="F90" s="43">
        <v>1983.71</v>
      </c>
      <c r="G90" s="38">
        <v>22584</v>
      </c>
    </row>
    <row r="91" spans="1:7">
      <c r="A91" s="50" t="s">
        <v>65</v>
      </c>
      <c r="B91" s="38" t="s">
        <v>47</v>
      </c>
      <c r="C91" s="38" t="s">
        <v>13</v>
      </c>
      <c r="D91" s="31">
        <f t="shared" ref="D91" si="2">+F91/E91</f>
        <v>48.329896907216501</v>
      </c>
      <c r="E91" s="32">
        <v>90.21</v>
      </c>
      <c r="F91" s="43">
        <v>4359.84</v>
      </c>
      <c r="G91" s="38">
        <v>22585</v>
      </c>
    </row>
    <row r="92" spans="1:7">
      <c r="A92" s="50"/>
      <c r="B92" s="38" t="s">
        <v>54</v>
      </c>
      <c r="C92" s="38"/>
      <c r="D92" s="31"/>
      <c r="E92" s="32"/>
      <c r="F92" s="43"/>
      <c r="G92" s="38"/>
    </row>
    <row r="93" spans="1:7">
      <c r="A93" s="50" t="s">
        <v>66</v>
      </c>
      <c r="B93" s="38" t="s">
        <v>45</v>
      </c>
      <c r="C93" s="38" t="s">
        <v>13</v>
      </c>
      <c r="D93" s="31">
        <f t="shared" ref="D93:D156" si="3">+F93/E93</f>
        <v>208.14998337213169</v>
      </c>
      <c r="E93" s="32">
        <v>90.21</v>
      </c>
      <c r="F93" s="43">
        <v>18777.21</v>
      </c>
      <c r="G93" s="38">
        <v>22586</v>
      </c>
    </row>
    <row r="94" spans="1:7">
      <c r="A94" s="50" t="s">
        <v>66</v>
      </c>
      <c r="B94" s="38" t="s">
        <v>45</v>
      </c>
      <c r="C94" s="38" t="s">
        <v>13</v>
      </c>
      <c r="D94" s="31">
        <f t="shared" si="3"/>
        <v>11.639507815098105</v>
      </c>
      <c r="E94" s="32">
        <v>90.21</v>
      </c>
      <c r="F94" s="43">
        <v>1050</v>
      </c>
      <c r="G94" s="38">
        <v>22587</v>
      </c>
    </row>
    <row r="95" spans="1:7">
      <c r="A95" s="50" t="s">
        <v>66</v>
      </c>
      <c r="B95" s="38" t="s">
        <v>49</v>
      </c>
      <c r="C95" s="38" t="s">
        <v>13</v>
      </c>
      <c r="D95" s="31">
        <f t="shared" si="3"/>
        <v>113.85999334885268</v>
      </c>
      <c r="E95" s="32">
        <v>90.21</v>
      </c>
      <c r="F95" s="43">
        <v>10271.31</v>
      </c>
      <c r="G95" s="38">
        <v>22588</v>
      </c>
    </row>
    <row r="96" spans="1:7">
      <c r="A96" s="50" t="s">
        <v>66</v>
      </c>
      <c r="B96" s="38" t="s">
        <v>58</v>
      </c>
      <c r="C96" s="38" t="s">
        <v>13</v>
      </c>
      <c r="D96" s="31">
        <f t="shared" si="3"/>
        <v>36.399955659017849</v>
      </c>
      <c r="E96" s="32">
        <v>90.21</v>
      </c>
      <c r="F96" s="43">
        <v>3283.64</v>
      </c>
      <c r="G96" s="38">
        <v>22589</v>
      </c>
    </row>
    <row r="97" spans="1:7">
      <c r="A97" s="50"/>
      <c r="B97" s="38" t="s">
        <v>54</v>
      </c>
      <c r="C97" s="38"/>
      <c r="D97" s="31"/>
      <c r="E97" s="32"/>
      <c r="F97" s="43"/>
      <c r="G97" s="38"/>
    </row>
    <row r="98" spans="1:7">
      <c r="A98" s="50" t="s">
        <v>67</v>
      </c>
      <c r="B98" s="38" t="s">
        <v>58</v>
      </c>
      <c r="C98" s="38" t="s">
        <v>13</v>
      </c>
      <c r="D98" s="31">
        <f t="shared" si="3"/>
        <v>40.009976720984376</v>
      </c>
      <c r="E98" s="32">
        <v>90.21</v>
      </c>
      <c r="F98" s="43">
        <v>3609.3</v>
      </c>
      <c r="G98" s="38">
        <v>22590</v>
      </c>
    </row>
    <row r="99" spans="1:7">
      <c r="A99" s="50" t="s">
        <v>50</v>
      </c>
      <c r="B99" s="38" t="s">
        <v>58</v>
      </c>
      <c r="C99" s="38" t="s">
        <v>13</v>
      </c>
      <c r="D99" s="31">
        <f t="shared" si="3"/>
        <v>44.349961201640618</v>
      </c>
      <c r="E99" s="32">
        <v>90.21</v>
      </c>
      <c r="F99" s="43">
        <v>4000.81</v>
      </c>
      <c r="G99" s="38">
        <v>22591</v>
      </c>
    </row>
    <row r="100" spans="1:7">
      <c r="A100" s="50" t="s">
        <v>50</v>
      </c>
      <c r="B100" s="38" t="s">
        <v>47</v>
      </c>
      <c r="C100" s="38" t="s">
        <v>13</v>
      </c>
      <c r="D100" s="31">
        <f t="shared" si="3"/>
        <v>49.129919077707576</v>
      </c>
      <c r="E100" s="32">
        <v>90.21</v>
      </c>
      <c r="F100" s="43">
        <v>4432.01</v>
      </c>
      <c r="G100" s="38">
        <v>22593</v>
      </c>
    </row>
    <row r="101" spans="1:7">
      <c r="A101" s="50"/>
      <c r="B101" s="38" t="s">
        <v>54</v>
      </c>
      <c r="C101" s="38"/>
      <c r="D101" s="31"/>
      <c r="E101" s="32"/>
      <c r="F101" s="43"/>
      <c r="G101" s="38"/>
    </row>
    <row r="102" spans="1:7">
      <c r="A102" s="50" t="s">
        <v>68</v>
      </c>
      <c r="B102" s="38" t="s">
        <v>49</v>
      </c>
      <c r="C102" s="38" t="s">
        <v>13</v>
      </c>
      <c r="D102" s="31">
        <f t="shared" si="3"/>
        <v>311.7399401396741</v>
      </c>
      <c r="E102" s="32">
        <v>90.21</v>
      </c>
      <c r="F102" s="43">
        <v>28122.06</v>
      </c>
      <c r="G102" s="38">
        <v>22594</v>
      </c>
    </row>
    <row r="103" spans="1:7">
      <c r="A103" s="50" t="s">
        <v>68</v>
      </c>
      <c r="B103" s="38" t="s">
        <v>55</v>
      </c>
      <c r="C103" s="38" t="s">
        <v>13</v>
      </c>
      <c r="D103" s="31">
        <f t="shared" si="3"/>
        <v>38.019953441968745</v>
      </c>
      <c r="E103" s="32">
        <v>90.21</v>
      </c>
      <c r="F103" s="43">
        <v>3429.78</v>
      </c>
      <c r="G103" s="38">
        <v>22595</v>
      </c>
    </row>
    <row r="104" spans="1:7">
      <c r="A104" s="50" t="s">
        <v>68</v>
      </c>
      <c r="B104" s="38" t="s">
        <v>45</v>
      </c>
      <c r="C104" s="38" t="s">
        <v>13</v>
      </c>
      <c r="D104" s="31">
        <f t="shared" si="3"/>
        <v>200.39995565901788</v>
      </c>
      <c r="E104" s="32">
        <v>90.21</v>
      </c>
      <c r="F104" s="43">
        <v>18078.080000000002</v>
      </c>
      <c r="G104" s="38">
        <v>22596</v>
      </c>
    </row>
    <row r="105" spans="1:7">
      <c r="A105" s="50" t="s">
        <v>68</v>
      </c>
      <c r="B105" s="38" t="s">
        <v>45</v>
      </c>
      <c r="C105" s="38" t="s">
        <v>13</v>
      </c>
      <c r="D105" s="31">
        <f t="shared" si="3"/>
        <v>10.677530207294092</v>
      </c>
      <c r="E105" s="32">
        <v>90.21</v>
      </c>
      <c r="F105" s="43">
        <v>963.22</v>
      </c>
      <c r="G105" s="38" t="s">
        <v>69</v>
      </c>
    </row>
    <row r="106" spans="1:7">
      <c r="A106" s="50" t="s">
        <v>68</v>
      </c>
      <c r="B106" s="38" t="s">
        <v>47</v>
      </c>
      <c r="C106" s="38" t="s">
        <v>13</v>
      </c>
      <c r="D106" s="31">
        <f t="shared" si="3"/>
        <v>36.029930162953114</v>
      </c>
      <c r="E106" s="32">
        <v>90.21</v>
      </c>
      <c r="F106" s="43">
        <v>3250.26</v>
      </c>
      <c r="G106" s="38">
        <v>22599</v>
      </c>
    </row>
    <row r="107" spans="1:7">
      <c r="A107" s="50"/>
      <c r="B107" s="38" t="s">
        <v>54</v>
      </c>
      <c r="C107" s="38"/>
      <c r="D107" s="31"/>
      <c r="E107" s="32"/>
      <c r="F107" s="43"/>
      <c r="G107" s="38"/>
    </row>
    <row r="108" spans="1:7">
      <c r="A108" s="50" t="s">
        <v>70</v>
      </c>
      <c r="B108" s="38" t="s">
        <v>49</v>
      </c>
      <c r="C108" s="38" t="s">
        <v>13</v>
      </c>
      <c r="D108" s="31">
        <f t="shared" si="3"/>
        <v>322.26992572885496</v>
      </c>
      <c r="E108" s="32">
        <v>90.21</v>
      </c>
      <c r="F108" s="43">
        <v>29071.97</v>
      </c>
      <c r="G108" s="38">
        <v>22602</v>
      </c>
    </row>
    <row r="109" spans="1:7">
      <c r="A109" s="50" t="s">
        <v>70</v>
      </c>
      <c r="B109" s="38" t="s">
        <v>47</v>
      </c>
      <c r="C109" s="38" t="s">
        <v>13</v>
      </c>
      <c r="D109" s="31">
        <f t="shared" si="3"/>
        <v>48.889923511805783</v>
      </c>
      <c r="E109" s="32">
        <v>90.21</v>
      </c>
      <c r="F109" s="43">
        <v>4410.3599999999997</v>
      </c>
      <c r="G109" s="38">
        <v>22603</v>
      </c>
    </row>
    <row r="110" spans="1:7">
      <c r="A110" s="50"/>
      <c r="B110" s="38" t="s">
        <v>54</v>
      </c>
      <c r="C110" s="38"/>
      <c r="D110" s="31"/>
      <c r="E110" s="32"/>
      <c r="F110" s="43"/>
      <c r="G110" s="38"/>
    </row>
    <row r="111" spans="1:7">
      <c r="A111" s="50" t="s">
        <v>71</v>
      </c>
      <c r="B111" s="38" t="s">
        <v>42</v>
      </c>
      <c r="C111" s="38" t="s">
        <v>13</v>
      </c>
      <c r="D111" s="31">
        <f t="shared" si="3"/>
        <v>74.299966744263401</v>
      </c>
      <c r="E111" s="32">
        <v>90.21</v>
      </c>
      <c r="F111" s="43">
        <v>6702.6</v>
      </c>
      <c r="G111" s="38">
        <v>22608</v>
      </c>
    </row>
    <row r="112" spans="1:7">
      <c r="A112" s="50" t="s">
        <v>71</v>
      </c>
      <c r="B112" s="38" t="s">
        <v>72</v>
      </c>
      <c r="C112" s="38" t="s">
        <v>13</v>
      </c>
      <c r="D112" s="31">
        <f t="shared" si="3"/>
        <v>554.26227690943358</v>
      </c>
      <c r="E112" s="32">
        <v>90.21</v>
      </c>
      <c r="F112" s="43">
        <v>50000</v>
      </c>
      <c r="G112" s="38">
        <v>22607</v>
      </c>
    </row>
    <row r="113" spans="1:7">
      <c r="A113" s="50" t="s">
        <v>71</v>
      </c>
      <c r="B113" s="38" t="s">
        <v>45</v>
      </c>
      <c r="C113" s="38" t="s">
        <v>13</v>
      </c>
      <c r="D113" s="31">
        <f t="shared" si="3"/>
        <v>152.36924952887708</v>
      </c>
      <c r="E113" s="32">
        <v>90.21</v>
      </c>
      <c r="F113" s="43">
        <v>13745.23</v>
      </c>
      <c r="G113" s="38">
        <v>22606</v>
      </c>
    </row>
    <row r="114" spans="1:7">
      <c r="A114" s="50" t="s">
        <v>71</v>
      </c>
      <c r="B114" s="38" t="s">
        <v>47</v>
      </c>
      <c r="C114" s="38" t="s">
        <v>13</v>
      </c>
      <c r="D114" s="31">
        <f t="shared" si="3"/>
        <v>32.258064516129032</v>
      </c>
      <c r="E114" s="32">
        <v>90.21</v>
      </c>
      <c r="F114" s="43">
        <v>2910</v>
      </c>
      <c r="G114" s="38">
        <v>22604</v>
      </c>
    </row>
    <row r="115" spans="1:7">
      <c r="A115" s="50" t="s">
        <v>71</v>
      </c>
      <c r="B115" s="38" t="s">
        <v>47</v>
      </c>
      <c r="C115" s="38" t="s">
        <v>13</v>
      </c>
      <c r="D115" s="31">
        <f t="shared" si="3"/>
        <v>21.649927945904004</v>
      </c>
      <c r="E115" s="32">
        <v>90.21</v>
      </c>
      <c r="F115" s="43">
        <v>1953.04</v>
      </c>
      <c r="G115" s="38">
        <v>22610</v>
      </c>
    </row>
    <row r="116" spans="1:7">
      <c r="A116" s="50"/>
      <c r="B116" s="38" t="s">
        <v>54</v>
      </c>
      <c r="C116" s="38"/>
      <c r="D116" s="31"/>
      <c r="E116" s="32"/>
      <c r="F116" s="43"/>
      <c r="G116" s="38"/>
    </row>
    <row r="117" spans="1:7">
      <c r="A117" s="50" t="s">
        <v>73</v>
      </c>
      <c r="B117" s="38" t="s">
        <v>42</v>
      </c>
      <c r="C117" s="38" t="s">
        <v>13</v>
      </c>
      <c r="D117" s="31">
        <f t="shared" si="3"/>
        <v>221.70491076377343</v>
      </c>
      <c r="E117" s="32">
        <v>90.21</v>
      </c>
      <c r="F117" s="43">
        <v>20000</v>
      </c>
      <c r="G117" s="38">
        <v>22611</v>
      </c>
    </row>
    <row r="118" spans="1:7">
      <c r="A118" s="50" t="s">
        <v>73</v>
      </c>
      <c r="B118" s="38" t="s">
        <v>42</v>
      </c>
      <c r="C118" s="38" t="s">
        <v>13</v>
      </c>
      <c r="D118" s="31">
        <f t="shared" si="3"/>
        <v>90.869970069837038</v>
      </c>
      <c r="E118" s="32">
        <v>90.21</v>
      </c>
      <c r="F118" s="43">
        <v>8197.3799999999992</v>
      </c>
      <c r="G118" s="38">
        <v>22612</v>
      </c>
    </row>
    <row r="119" spans="1:7">
      <c r="A119" s="50" t="s">
        <v>73</v>
      </c>
      <c r="B119" s="38" t="s">
        <v>47</v>
      </c>
      <c r="C119" s="38" t="s">
        <v>13</v>
      </c>
      <c r="D119" s="31">
        <f t="shared" si="3"/>
        <v>54.011750360270483</v>
      </c>
      <c r="E119" s="32">
        <v>90.21</v>
      </c>
      <c r="F119" s="43">
        <v>4872.3999999999996</v>
      </c>
      <c r="G119" s="38">
        <v>22614</v>
      </c>
    </row>
    <row r="120" spans="1:7">
      <c r="A120" s="50" t="s">
        <v>73</v>
      </c>
      <c r="B120" s="38" t="s">
        <v>58</v>
      </c>
      <c r="C120" s="38" t="s">
        <v>13</v>
      </c>
      <c r="D120" s="31">
        <f t="shared" si="3"/>
        <v>37.189890256069177</v>
      </c>
      <c r="E120" s="32">
        <v>90.21</v>
      </c>
      <c r="F120" s="43">
        <v>3354.9</v>
      </c>
      <c r="G120" s="38">
        <v>22615</v>
      </c>
    </row>
    <row r="121" spans="1:7">
      <c r="A121" s="50" t="s">
        <v>73</v>
      </c>
      <c r="B121" s="38" t="s">
        <v>44</v>
      </c>
      <c r="C121" s="38" t="s">
        <v>13</v>
      </c>
      <c r="D121" s="31">
        <f t="shared" si="3"/>
        <v>104.42999667442633</v>
      </c>
      <c r="E121" s="32">
        <v>90.21</v>
      </c>
      <c r="F121" s="43">
        <v>9420.6299999999992</v>
      </c>
      <c r="G121" s="38">
        <v>22516</v>
      </c>
    </row>
    <row r="122" spans="1:7">
      <c r="A122" s="50"/>
      <c r="B122" s="38" t="s">
        <v>54</v>
      </c>
      <c r="C122" s="38"/>
      <c r="D122" s="31"/>
      <c r="E122" s="32"/>
      <c r="F122" s="43"/>
      <c r="G122" s="38"/>
    </row>
    <row r="123" spans="1:7">
      <c r="A123" s="50" t="s">
        <v>74</v>
      </c>
      <c r="B123" s="38" t="s">
        <v>45</v>
      </c>
      <c r="C123" s="38" t="s">
        <v>13</v>
      </c>
      <c r="D123" s="31">
        <f t="shared" si="3"/>
        <v>153.91996452721429</v>
      </c>
      <c r="E123" s="32">
        <v>90.21</v>
      </c>
      <c r="F123" s="43">
        <v>13885.12</v>
      </c>
      <c r="G123" s="38">
        <v>22618</v>
      </c>
    </row>
    <row r="124" spans="1:7">
      <c r="A124" s="50" t="s">
        <v>74</v>
      </c>
      <c r="B124" s="38" t="s">
        <v>42</v>
      </c>
      <c r="C124" s="38" t="s">
        <v>13</v>
      </c>
      <c r="D124" s="31">
        <f t="shared" si="3"/>
        <v>221.70491076377343</v>
      </c>
      <c r="E124" s="32">
        <v>90.21</v>
      </c>
      <c r="F124" s="43">
        <v>20000</v>
      </c>
      <c r="G124" s="38">
        <v>22619</v>
      </c>
    </row>
    <row r="125" spans="1:7">
      <c r="A125" s="50" t="s">
        <v>74</v>
      </c>
      <c r="B125" s="38" t="s">
        <v>49</v>
      </c>
      <c r="C125" s="38" t="s">
        <v>13</v>
      </c>
      <c r="D125" s="31">
        <f t="shared" si="3"/>
        <v>21.209954550493293</v>
      </c>
      <c r="E125" s="32">
        <v>90.21</v>
      </c>
      <c r="F125" s="43">
        <v>1913.35</v>
      </c>
      <c r="G125" s="38">
        <v>22620</v>
      </c>
    </row>
    <row r="126" spans="1:7">
      <c r="A126" s="50" t="s">
        <v>74</v>
      </c>
      <c r="B126" s="38" t="s">
        <v>48</v>
      </c>
      <c r="C126" s="38" t="s">
        <v>13</v>
      </c>
      <c r="D126" s="31">
        <f t="shared" si="3"/>
        <v>138.56989247311827</v>
      </c>
      <c r="E126" s="32">
        <v>90.21</v>
      </c>
      <c r="F126" s="43">
        <v>12500.39</v>
      </c>
      <c r="G126" s="38">
        <v>22621</v>
      </c>
    </row>
    <row r="127" spans="1:7">
      <c r="A127" s="50" t="s">
        <v>74</v>
      </c>
      <c r="B127" s="38" t="s">
        <v>75</v>
      </c>
      <c r="C127" s="38" t="s">
        <v>13</v>
      </c>
      <c r="D127" s="31">
        <f t="shared" si="3"/>
        <v>284.22990799246207</v>
      </c>
      <c r="E127" s="32">
        <v>90.21</v>
      </c>
      <c r="F127" s="43">
        <v>25640.38</v>
      </c>
      <c r="G127" s="38">
        <v>22623</v>
      </c>
    </row>
    <row r="128" spans="1:7">
      <c r="A128" s="50" t="s">
        <v>74</v>
      </c>
      <c r="B128" s="38" t="s">
        <v>47</v>
      </c>
      <c r="C128" s="38" t="s">
        <v>13</v>
      </c>
      <c r="D128" s="31">
        <f t="shared" si="3"/>
        <v>33.249972286886155</v>
      </c>
      <c r="E128" s="32">
        <v>90.21</v>
      </c>
      <c r="F128" s="43">
        <v>2999.48</v>
      </c>
      <c r="G128" s="38">
        <v>22624</v>
      </c>
    </row>
    <row r="129" spans="1:7">
      <c r="A129" s="50" t="s">
        <v>74</v>
      </c>
      <c r="B129" s="38" t="s">
        <v>47</v>
      </c>
      <c r="C129" s="38" t="s">
        <v>13</v>
      </c>
      <c r="D129" s="31">
        <f t="shared" si="3"/>
        <v>48.299966744263394</v>
      </c>
      <c r="E129" s="32">
        <v>90.21</v>
      </c>
      <c r="F129" s="43">
        <v>4357.1400000000003</v>
      </c>
      <c r="G129" s="38">
        <v>22626</v>
      </c>
    </row>
    <row r="130" spans="1:7">
      <c r="A130" s="50"/>
      <c r="B130" s="38" t="s">
        <v>54</v>
      </c>
      <c r="C130" s="38"/>
      <c r="D130" s="31"/>
      <c r="E130" s="32"/>
      <c r="F130" s="43"/>
      <c r="G130" s="38"/>
    </row>
    <row r="131" spans="1:7">
      <c r="A131" s="50" t="s">
        <v>76</v>
      </c>
      <c r="B131" s="38" t="s">
        <v>56</v>
      </c>
      <c r="C131" s="38" t="s">
        <v>13</v>
      </c>
      <c r="D131" s="31">
        <f t="shared" si="3"/>
        <v>44.351623988471346</v>
      </c>
      <c r="E131" s="32">
        <v>90.21</v>
      </c>
      <c r="F131" s="43">
        <v>4000.96</v>
      </c>
      <c r="G131" s="38">
        <v>22627</v>
      </c>
    </row>
    <row r="132" spans="1:7">
      <c r="A132" s="50" t="s">
        <v>76</v>
      </c>
      <c r="B132" s="38" t="s">
        <v>75</v>
      </c>
      <c r="C132" s="38" t="s">
        <v>13</v>
      </c>
      <c r="D132" s="31">
        <f t="shared" si="3"/>
        <v>142.37989136459373</v>
      </c>
      <c r="E132" s="32">
        <v>90.21</v>
      </c>
      <c r="F132" s="43">
        <v>12844.09</v>
      </c>
      <c r="G132" s="38">
        <v>22628</v>
      </c>
    </row>
    <row r="133" spans="1:7">
      <c r="A133" s="50" t="s">
        <v>76</v>
      </c>
      <c r="B133" s="38" t="s">
        <v>45</v>
      </c>
      <c r="C133" s="38" t="s">
        <v>13</v>
      </c>
      <c r="D133" s="31">
        <f t="shared" si="3"/>
        <v>29.018401507593396</v>
      </c>
      <c r="E133" s="32">
        <v>90.21</v>
      </c>
      <c r="F133" s="43">
        <v>2617.75</v>
      </c>
      <c r="G133" s="38">
        <v>22630</v>
      </c>
    </row>
    <row r="134" spans="1:7">
      <c r="A134" s="50"/>
      <c r="B134" s="38" t="s">
        <v>54</v>
      </c>
      <c r="C134" s="38"/>
      <c r="D134" s="31"/>
      <c r="E134" s="32"/>
      <c r="F134" s="43"/>
      <c r="G134" s="38"/>
    </row>
    <row r="135" spans="1:7">
      <c r="A135" s="50" t="s">
        <v>77</v>
      </c>
      <c r="B135" s="38" t="s">
        <v>51</v>
      </c>
      <c r="C135" s="38" t="s">
        <v>13</v>
      </c>
      <c r="D135" s="31">
        <f t="shared" si="3"/>
        <v>221.70491076377343</v>
      </c>
      <c r="E135" s="32">
        <v>90.21</v>
      </c>
      <c r="F135" s="43">
        <v>20000</v>
      </c>
      <c r="G135" s="38">
        <v>22631</v>
      </c>
    </row>
    <row r="136" spans="1:7">
      <c r="A136" s="50" t="s">
        <v>78</v>
      </c>
      <c r="B136" s="38" t="s">
        <v>45</v>
      </c>
      <c r="C136" s="38" t="s">
        <v>13</v>
      </c>
      <c r="D136" s="31">
        <f t="shared" si="3"/>
        <v>130.33998448065626</v>
      </c>
      <c r="E136" s="32">
        <v>90.21</v>
      </c>
      <c r="F136" s="43">
        <v>11757.97</v>
      </c>
      <c r="G136" s="38">
        <v>22632</v>
      </c>
    </row>
    <row r="137" spans="1:7">
      <c r="A137" s="50" t="s">
        <v>79</v>
      </c>
      <c r="B137" s="38" t="s">
        <v>43</v>
      </c>
      <c r="C137" s="38" t="s">
        <v>13</v>
      </c>
      <c r="D137" s="31">
        <f t="shared" si="3"/>
        <v>33.319920186232125</v>
      </c>
      <c r="E137" s="32">
        <v>90.21</v>
      </c>
      <c r="F137" s="43">
        <v>3005.79</v>
      </c>
      <c r="G137" s="38">
        <v>22633</v>
      </c>
    </row>
    <row r="138" spans="1:7">
      <c r="A138" s="50" t="s">
        <v>80</v>
      </c>
      <c r="B138" s="38" t="s">
        <v>75</v>
      </c>
      <c r="C138" s="38" t="s">
        <v>13</v>
      </c>
      <c r="D138" s="31">
        <f t="shared" si="3"/>
        <v>86.289990023279017</v>
      </c>
      <c r="E138" s="32">
        <v>90.21</v>
      </c>
      <c r="F138" s="43">
        <v>7784.22</v>
      </c>
      <c r="G138" s="38">
        <v>22634</v>
      </c>
    </row>
    <row r="139" spans="1:7">
      <c r="A139" s="50" t="s">
        <v>81</v>
      </c>
      <c r="B139" s="38" t="s">
        <v>45</v>
      </c>
      <c r="C139" s="38" t="s">
        <v>13</v>
      </c>
      <c r="D139" s="31">
        <f t="shared" si="3"/>
        <v>22.969958984591511</v>
      </c>
      <c r="E139" s="32">
        <v>90.21</v>
      </c>
      <c r="F139" s="43">
        <v>2072.12</v>
      </c>
      <c r="G139" s="38">
        <v>22635</v>
      </c>
    </row>
    <row r="140" spans="1:7">
      <c r="A140" s="50" t="s">
        <v>82</v>
      </c>
      <c r="B140" s="38" t="s">
        <v>51</v>
      </c>
      <c r="C140" s="38" t="s">
        <v>13</v>
      </c>
      <c r="D140" s="31">
        <f t="shared" si="3"/>
        <v>37.899900232790159</v>
      </c>
      <c r="E140" s="32">
        <v>90.21</v>
      </c>
      <c r="F140" s="43">
        <v>3418.95</v>
      </c>
      <c r="G140" s="38">
        <v>22637</v>
      </c>
    </row>
    <row r="141" spans="1:7">
      <c r="A141" s="50" t="s">
        <v>83</v>
      </c>
      <c r="B141" s="38" t="s">
        <v>47</v>
      </c>
      <c r="C141" s="38" t="s">
        <v>13</v>
      </c>
      <c r="D141" s="31">
        <f t="shared" si="3"/>
        <v>140.53996231016518</v>
      </c>
      <c r="E141" s="32">
        <v>90.21</v>
      </c>
      <c r="F141" s="43">
        <v>12678.11</v>
      </c>
      <c r="G141" s="38">
        <v>22636</v>
      </c>
    </row>
    <row r="142" spans="1:7">
      <c r="A142" s="50"/>
      <c r="B142" s="38" t="s">
        <v>54</v>
      </c>
      <c r="C142" s="38"/>
      <c r="D142" s="31"/>
      <c r="E142" s="32"/>
      <c r="F142" s="43"/>
      <c r="G142" s="38"/>
    </row>
    <row r="143" spans="1:7">
      <c r="A143" s="50" t="s">
        <v>84</v>
      </c>
      <c r="B143" s="38" t="s">
        <v>75</v>
      </c>
      <c r="C143" s="38" t="s">
        <v>13</v>
      </c>
      <c r="D143" s="31">
        <f t="shared" si="3"/>
        <v>334.62997450393527</v>
      </c>
      <c r="E143" s="32">
        <v>90.21</v>
      </c>
      <c r="F143" s="43">
        <v>30186.97</v>
      </c>
      <c r="G143" s="38">
        <v>22639</v>
      </c>
    </row>
    <row r="144" spans="1:7">
      <c r="A144" s="50" t="s">
        <v>84</v>
      </c>
      <c r="B144" s="38" t="s">
        <v>47</v>
      </c>
      <c r="C144" s="38" t="s">
        <v>13</v>
      </c>
      <c r="D144" s="31">
        <f t="shared" si="3"/>
        <v>28.932490854672434</v>
      </c>
      <c r="E144" s="32">
        <v>90.21</v>
      </c>
      <c r="F144" s="43">
        <v>2610</v>
      </c>
      <c r="G144" s="38">
        <v>22640</v>
      </c>
    </row>
    <row r="145" spans="1:7">
      <c r="A145" s="50"/>
      <c r="B145" s="38" t="s">
        <v>54</v>
      </c>
      <c r="C145" s="38"/>
      <c r="D145" s="31"/>
      <c r="E145" s="32"/>
      <c r="F145" s="43"/>
      <c r="G145" s="38"/>
    </row>
    <row r="146" spans="1:7">
      <c r="A146" s="50" t="s">
        <v>85</v>
      </c>
      <c r="B146" s="38" t="s">
        <v>75</v>
      </c>
      <c r="C146" s="38" t="s">
        <v>13</v>
      </c>
      <c r="D146" s="31">
        <f t="shared" si="3"/>
        <v>227.01995344196877</v>
      </c>
      <c r="E146" s="32">
        <v>90.21</v>
      </c>
      <c r="F146" s="43">
        <v>20479.47</v>
      </c>
      <c r="G146" s="38">
        <v>22641</v>
      </c>
    </row>
    <row r="147" spans="1:7">
      <c r="A147" s="50" t="s">
        <v>85</v>
      </c>
      <c r="B147" s="38" t="s">
        <v>45</v>
      </c>
      <c r="C147" s="38" t="s">
        <v>13</v>
      </c>
      <c r="D147" s="31">
        <f t="shared" si="3"/>
        <v>243.06994789934598</v>
      </c>
      <c r="E147" s="32">
        <v>90.21</v>
      </c>
      <c r="F147" s="43">
        <v>21927.34</v>
      </c>
      <c r="G147" s="38">
        <v>22642</v>
      </c>
    </row>
    <row r="148" spans="1:7">
      <c r="A148" s="50" t="s">
        <v>85</v>
      </c>
      <c r="B148" s="38" t="s">
        <v>47</v>
      </c>
      <c r="C148" s="38" t="s">
        <v>13</v>
      </c>
      <c r="D148" s="31">
        <f t="shared" si="3"/>
        <v>52.570335882939808</v>
      </c>
      <c r="E148" s="32">
        <v>90.21</v>
      </c>
      <c r="F148" s="43">
        <v>4742.37</v>
      </c>
      <c r="G148" s="38">
        <v>22644</v>
      </c>
    </row>
    <row r="149" spans="1:7">
      <c r="A149" s="50"/>
      <c r="B149" s="38" t="s">
        <v>54</v>
      </c>
      <c r="C149" s="38"/>
      <c r="D149" s="31"/>
      <c r="E149" s="32"/>
      <c r="F149" s="43"/>
      <c r="G149" s="38"/>
    </row>
    <row r="150" spans="1:7">
      <c r="A150" s="50" t="s">
        <v>86</v>
      </c>
      <c r="B150" s="38" t="s">
        <v>44</v>
      </c>
      <c r="C150" s="38" t="s">
        <v>13</v>
      </c>
      <c r="D150" s="31">
        <f t="shared" si="3"/>
        <v>49.099988914754469</v>
      </c>
      <c r="E150" s="32">
        <v>90.21</v>
      </c>
      <c r="F150" s="43">
        <v>4429.3100000000004</v>
      </c>
      <c r="G150" s="38">
        <v>22646</v>
      </c>
    </row>
    <row r="151" spans="1:7">
      <c r="A151" s="50" t="s">
        <v>86</v>
      </c>
      <c r="B151" s="38" t="s">
        <v>42</v>
      </c>
      <c r="C151" s="38" t="s">
        <v>13</v>
      </c>
      <c r="D151" s="31">
        <f t="shared" si="3"/>
        <v>443.40982152754685</v>
      </c>
      <c r="E151" s="32">
        <v>90.21</v>
      </c>
      <c r="F151" s="43">
        <v>40000</v>
      </c>
      <c r="G151" s="38">
        <v>22647</v>
      </c>
    </row>
    <row r="152" spans="1:7">
      <c r="A152" s="50" t="s">
        <v>86</v>
      </c>
      <c r="B152" s="38" t="s">
        <v>75</v>
      </c>
      <c r="C152" s="38" t="s">
        <v>13</v>
      </c>
      <c r="D152" s="31">
        <f t="shared" si="3"/>
        <v>144.70989912426563</v>
      </c>
      <c r="E152" s="32">
        <v>90.21</v>
      </c>
      <c r="F152" s="43">
        <v>13054.28</v>
      </c>
      <c r="G152" s="38">
        <v>22648</v>
      </c>
    </row>
    <row r="153" spans="1:7">
      <c r="A153" s="50" t="s">
        <v>86</v>
      </c>
      <c r="B153" s="38" t="s">
        <v>45</v>
      </c>
      <c r="C153" s="38" t="s">
        <v>13</v>
      </c>
      <c r="D153" s="31">
        <f t="shared" si="3"/>
        <v>3.9116505930606364</v>
      </c>
      <c r="E153" s="32">
        <v>90.21</v>
      </c>
      <c r="F153" s="43">
        <v>352.87</v>
      </c>
      <c r="G153" s="38">
        <v>22650</v>
      </c>
    </row>
    <row r="154" spans="1:7">
      <c r="A154" s="50"/>
      <c r="B154" s="38" t="s">
        <v>54</v>
      </c>
      <c r="C154" s="38"/>
      <c r="D154" s="31"/>
      <c r="E154" s="32"/>
      <c r="F154" s="43"/>
      <c r="G154" s="38"/>
    </row>
    <row r="155" spans="1:7">
      <c r="A155" s="50" t="s">
        <v>87</v>
      </c>
      <c r="B155" s="38" t="s">
        <v>58</v>
      </c>
      <c r="C155" s="38" t="s">
        <v>13</v>
      </c>
      <c r="D155" s="31">
        <f t="shared" si="3"/>
        <v>36.579980046558035</v>
      </c>
      <c r="E155" s="32">
        <v>90.21</v>
      </c>
      <c r="F155" s="43">
        <v>3299.88</v>
      </c>
      <c r="G155" s="38">
        <v>22651</v>
      </c>
    </row>
    <row r="156" spans="1:7">
      <c r="A156" s="50" t="s">
        <v>87</v>
      </c>
      <c r="B156" s="38" t="s">
        <v>45</v>
      </c>
      <c r="C156" s="38" t="s">
        <v>13</v>
      </c>
      <c r="D156" s="31">
        <f t="shared" si="3"/>
        <v>206.39995565901788</v>
      </c>
      <c r="E156" s="32">
        <v>90.21</v>
      </c>
      <c r="F156" s="43">
        <v>18619.34</v>
      </c>
      <c r="G156" s="38">
        <v>22652</v>
      </c>
    </row>
    <row r="157" spans="1:7">
      <c r="A157" s="50" t="s">
        <v>87</v>
      </c>
      <c r="B157" s="38" t="s">
        <v>42</v>
      </c>
      <c r="C157" s="38" t="s">
        <v>13</v>
      </c>
      <c r="D157" s="31">
        <f t="shared" ref="D157" si="4">+F157/E157</f>
        <v>243.87994679082144</v>
      </c>
      <c r="E157" s="32">
        <v>90.21</v>
      </c>
      <c r="F157" s="43">
        <v>22000.41</v>
      </c>
      <c r="G157" s="38">
        <v>22653</v>
      </c>
    </row>
    <row r="158" spans="1:7">
      <c r="A158" s="50"/>
      <c r="B158" s="38"/>
      <c r="C158" s="38"/>
      <c r="D158" s="31"/>
      <c r="E158" s="32"/>
      <c r="F158" s="43"/>
      <c r="G158" s="38"/>
    </row>
    <row r="159" spans="1:7">
      <c r="A159" s="50"/>
      <c r="B159" s="38"/>
      <c r="C159" s="38"/>
      <c r="D159" s="31"/>
      <c r="E159" s="32"/>
      <c r="F159" s="43"/>
      <c r="G159" s="38"/>
    </row>
    <row r="160" spans="1:7">
      <c r="A160" s="50"/>
      <c r="B160" s="38"/>
      <c r="C160" s="38"/>
      <c r="D160" s="31"/>
      <c r="E160" s="32"/>
      <c r="F160" s="43"/>
      <c r="G160" s="38"/>
    </row>
    <row r="161" spans="1:7">
      <c r="A161" s="50"/>
      <c r="B161" s="38"/>
      <c r="C161" s="38"/>
      <c r="D161" s="31"/>
      <c r="E161" s="32"/>
      <c r="F161" s="43"/>
      <c r="G161" s="38"/>
    </row>
    <row r="162" spans="1:7">
      <c r="A162" s="50"/>
      <c r="B162" s="38"/>
      <c r="C162" s="38"/>
      <c r="D162" s="31"/>
      <c r="E162" s="32"/>
      <c r="F162" s="43"/>
      <c r="G162" s="38"/>
    </row>
  </sheetData>
  <mergeCells count="1">
    <mergeCell ref="A3:G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1-11-2025 (2)</vt:lpstr>
      <vt:lpstr>2-11-2025</vt:lpstr>
      <vt:lpstr>3-11-2025</vt:lpstr>
      <vt:lpstr>4-11-2025</vt:lpstr>
      <vt:lpstr>5-11-2025</vt:lpstr>
      <vt:lpstr>6-11-2025</vt:lpstr>
      <vt:lpstr>7-11-2025</vt:lpstr>
      <vt:lpstr>8-11-2025</vt:lpstr>
      <vt:lpstr>9-11-2025</vt:lpstr>
      <vt:lpstr>10-11-2025</vt:lpstr>
      <vt:lpstr>11-11-2025</vt:lpstr>
      <vt:lpstr>12-11-2025</vt:lpstr>
      <vt:lpstr>13-11-2025</vt:lpstr>
      <vt:lpstr>14-11-2025</vt:lpstr>
      <vt:lpstr>15-11-2025</vt:lpstr>
      <vt:lpstr>16-11-2025</vt:lpstr>
      <vt:lpstr>17-11-2025</vt:lpstr>
      <vt:lpstr>18-11-2025</vt:lpstr>
      <vt:lpstr>19-11-2025</vt:lpstr>
      <vt:lpstr>20-11-2025</vt:lpstr>
      <vt:lpstr>21-11-2025</vt:lpstr>
      <vt:lpstr>22-11-2025</vt:lpstr>
      <vt:lpstr>23-11-2025</vt:lpstr>
      <vt:lpstr>24-11-2025</vt:lpstr>
      <vt:lpstr>25-11-2025</vt:lpstr>
      <vt:lpstr>26-11-2025</vt:lpstr>
      <vt:lpstr>27-11-2026</vt:lpstr>
      <vt:lpstr>28-11-2026</vt:lpstr>
      <vt:lpstr>29-11-2026</vt:lpstr>
      <vt:lpstr>30-11-2026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Asus</cp:lastModifiedBy>
  <dcterms:created xsi:type="dcterms:W3CDTF">2015-06-05T18:17:20Z</dcterms:created>
  <dcterms:modified xsi:type="dcterms:W3CDTF">2026-09-25T17:12:28Z</dcterms:modified>
</cp:coreProperties>
</file>
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FED50EC-CDC4-4D62-9A2C-05C0D0A4944C}" xr6:coauthVersionLast="36" xr6:coauthVersionMax="36" xr10:uidLastSave="{00000000-0000-0000-0000-000000000000}"/>
  <bookViews>
    <workbookView xWindow="0" yWindow="0" windowWidth="23040" windowHeight="9060" firstSheet="23" activeTab="30" xr2:uid="{00000000-000D-0000-FFFF-FFFF00000000}"/>
  </bookViews>
  <sheets>
    <sheet name="1-10-2025" sheetId="1" r:id="rId1"/>
    <sheet name="2-10-2025" sheetId="2" r:id="rId2"/>
    <sheet name="3-10-2025" sheetId="3" r:id="rId3"/>
    <sheet name="4-10-2025" sheetId="4" r:id="rId4"/>
    <sheet name="5-10-2025" sheetId="5" r:id="rId5"/>
    <sheet name="6-10-2025" sheetId="6" r:id="rId6"/>
    <sheet name="7-10-2025" sheetId="7" r:id="rId7"/>
    <sheet name="8-10-2025" sheetId="8" r:id="rId8"/>
    <sheet name="9-10-2025" sheetId="9" r:id="rId9"/>
    <sheet name="10-10-2025" sheetId="10" r:id="rId10"/>
    <sheet name="11-10-2025" sheetId="11" r:id="rId11"/>
    <sheet name="12-10-2025" sheetId="12" r:id="rId12"/>
    <sheet name="13-10-2025" sheetId="13" r:id="rId13"/>
    <sheet name="14-10-2025" sheetId="14" r:id="rId14"/>
    <sheet name="15-10-2025" sheetId="15" r:id="rId15"/>
    <sheet name="16-10-2025" sheetId="16" r:id="rId16"/>
    <sheet name="17-10-2025" sheetId="17" r:id="rId17"/>
    <sheet name="18-10-2025" sheetId="18" r:id="rId18"/>
    <sheet name="19-10-2025" sheetId="19" r:id="rId19"/>
    <sheet name="20-10-2025" sheetId="20" r:id="rId20"/>
    <sheet name="21-10-2025" sheetId="21" r:id="rId21"/>
    <sheet name="22-10-2025" sheetId="22" r:id="rId22"/>
    <sheet name="23-10-2025" sheetId="23" r:id="rId23"/>
    <sheet name="24-10-2025" sheetId="24" r:id="rId24"/>
    <sheet name="25-10-2025" sheetId="25" r:id="rId25"/>
    <sheet name="26-10-2025" sheetId="26" r:id="rId26"/>
    <sheet name="27-10-2025" sheetId="27" r:id="rId27"/>
    <sheet name="28-10-2025" sheetId="28" r:id="rId28"/>
    <sheet name="29-10-2025" sheetId="29" r:id="rId29"/>
    <sheet name="30-10-2025" sheetId="30" r:id="rId30"/>
    <sheet name="31-10-2025" sheetId="31" r:id="rId31"/>
  </sheets>
  <calcPr calcId="191029"/>
</workbook>
</file>

<file path=xl/calcChain.xml><?xml version="1.0" encoding="utf-8"?>
<calcChain xmlns="http://schemas.openxmlformats.org/spreadsheetml/2006/main">
  <c r="Q7" i="23" l="1"/>
  <c r="B6" i="31"/>
  <c r="B5" i="31"/>
  <c r="B4" i="31"/>
  <c r="B6" i="30"/>
  <c r="B5" i="30"/>
  <c r="B4" i="30"/>
  <c r="B6" i="29"/>
  <c r="B5" i="29"/>
  <c r="B4" i="29"/>
  <c r="B6" i="28"/>
  <c r="B5" i="28"/>
  <c r="B4" i="28"/>
  <c r="B6" i="27"/>
  <c r="B5" i="27"/>
  <c r="B4" i="27"/>
  <c r="B6" i="26"/>
  <c r="B5" i="26"/>
  <c r="B4" i="26"/>
  <c r="B6" i="25"/>
  <c r="B5" i="25"/>
  <c r="B4" i="25"/>
  <c r="B6" i="24"/>
  <c r="B5" i="24"/>
  <c r="B4" i="24"/>
  <c r="B6" i="23"/>
  <c r="B5" i="23"/>
  <c r="B4" i="23"/>
  <c r="B6" i="22"/>
  <c r="B5" i="22"/>
  <c r="B4" i="22"/>
  <c r="B6" i="21"/>
  <c r="B5" i="21"/>
  <c r="B4" i="21"/>
  <c r="B6" i="20"/>
  <c r="B5" i="20"/>
  <c r="B4" i="20"/>
  <c r="B6" i="19"/>
  <c r="B5" i="19"/>
  <c r="B4" i="19"/>
  <c r="B6" i="18"/>
  <c r="B5" i="18"/>
  <c r="B4" i="18"/>
  <c r="B6" i="17"/>
  <c r="B5" i="17"/>
  <c r="B4" i="17"/>
  <c r="B6" i="16"/>
  <c r="B5" i="16"/>
  <c r="B4" i="16"/>
  <c r="B6" i="15"/>
  <c r="B5" i="15"/>
  <c r="B4" i="15"/>
  <c r="B6" i="14"/>
  <c r="B5" i="14"/>
  <c r="B4" i="14"/>
  <c r="B6" i="13"/>
  <c r="B5" i="13"/>
  <c r="B4" i="13"/>
  <c r="B6" i="12"/>
  <c r="B5" i="12"/>
  <c r="B4" i="12"/>
  <c r="B6" i="11"/>
  <c r="B5" i="11"/>
  <c r="B4" i="11"/>
  <c r="B6" i="10"/>
  <c r="B5" i="10"/>
  <c r="B4" i="10"/>
  <c r="B6" i="9"/>
  <c r="B5" i="9"/>
  <c r="B4" i="9"/>
  <c r="B6" i="8"/>
  <c r="B5" i="8"/>
  <c r="B4" i="8"/>
  <c r="B6" i="7"/>
  <c r="B5" i="7"/>
  <c r="B4" i="7"/>
  <c r="B6" i="6"/>
  <c r="B5" i="6"/>
  <c r="B4" i="6"/>
  <c r="B6" i="5"/>
  <c r="B5" i="5"/>
  <c r="B4" i="5"/>
  <c r="B6" i="4"/>
  <c r="B5" i="4"/>
  <c r="B4" i="4"/>
  <c r="B6" i="3"/>
  <c r="B5" i="3"/>
  <c r="B4" i="3"/>
  <c r="B6" i="2"/>
  <c r="B5" i="2"/>
  <c r="B4" i="2"/>
  <c r="B6" i="1"/>
  <c r="B5" i="1"/>
  <c r="B4" i="1"/>
  <c r="K4" i="31"/>
  <c r="K4" i="30"/>
  <c r="K4" i="29"/>
  <c r="K4" i="28"/>
  <c r="K4" i="27"/>
  <c r="K4" i="26"/>
  <c r="K4" i="25"/>
  <c r="K4" i="24"/>
  <c r="K4" i="23"/>
  <c r="K4" i="22"/>
  <c r="K4" i="21"/>
  <c r="K4" i="20"/>
  <c r="K4" i="19"/>
  <c r="K4" i="18"/>
  <c r="K4" i="17"/>
  <c r="K4" i="16"/>
  <c r="K4" i="15"/>
  <c r="K4" i="14"/>
  <c r="K4" i="13"/>
  <c r="K4" i="12"/>
  <c r="K4" i="11"/>
  <c r="K4" i="10"/>
  <c r="K4" i="9"/>
  <c r="K4" i="8"/>
  <c r="K4" i="7"/>
  <c r="K4" i="6"/>
  <c r="K4" i="5"/>
  <c r="K4" i="4"/>
  <c r="K4" i="3"/>
  <c r="K4" i="2"/>
  <c r="K4" i="1"/>
  <c r="I5" i="1"/>
  <c r="M5" i="31"/>
  <c r="N5" i="31" s="1"/>
  <c r="M4" i="31"/>
  <c r="N4" i="31" s="1"/>
  <c r="M5" i="30"/>
  <c r="N5" i="30" s="1"/>
  <c r="M4" i="30"/>
  <c r="N4" i="30" s="1"/>
  <c r="M5" i="29"/>
  <c r="N5" i="29" s="1"/>
  <c r="M4" i="29"/>
  <c r="N4" i="29" s="1"/>
  <c r="M5" i="28"/>
  <c r="N5" i="28" s="1"/>
  <c r="M4" i="28"/>
  <c r="N4" i="28" s="1"/>
  <c r="M5" i="27"/>
  <c r="N5" i="27" s="1"/>
  <c r="M4" i="27"/>
  <c r="N4" i="27" s="1"/>
  <c r="M5" i="26"/>
  <c r="N5" i="26" s="1"/>
  <c r="M4" i="26"/>
  <c r="N4" i="26" s="1"/>
  <c r="M5" i="25"/>
  <c r="N5" i="25" s="1"/>
  <c r="M4" i="25"/>
  <c r="N4" i="25" s="1"/>
  <c r="M5" i="24"/>
  <c r="N5" i="24" s="1"/>
  <c r="M4" i="24"/>
  <c r="N4" i="24" s="1"/>
  <c r="M5" i="23"/>
  <c r="N5" i="23" s="1"/>
  <c r="M4" i="23"/>
  <c r="N4" i="23" s="1"/>
  <c r="M5" i="22"/>
  <c r="N5" i="22" s="1"/>
  <c r="M4" i="22"/>
  <c r="N4" i="22" s="1"/>
  <c r="M5" i="21"/>
  <c r="N5" i="21" s="1"/>
  <c r="M4" i="21"/>
  <c r="N4" i="21" s="1"/>
  <c r="M5" i="20"/>
  <c r="N5" i="20" s="1"/>
  <c r="M4" i="20"/>
  <c r="N4" i="20" s="1"/>
  <c r="M5" i="19"/>
  <c r="N5" i="19" s="1"/>
  <c r="M4" i="19"/>
  <c r="N4" i="19" s="1"/>
  <c r="M5" i="18"/>
  <c r="N5" i="18" s="1"/>
  <c r="M4" i="18"/>
  <c r="N4" i="18" s="1"/>
  <c r="M5" i="17"/>
  <c r="N5" i="17" s="1"/>
  <c r="M4" i="17"/>
  <c r="N4" i="17" s="1"/>
  <c r="M5" i="16"/>
  <c r="N5" i="16" s="1"/>
  <c r="M4" i="16"/>
  <c r="N4" i="16" s="1"/>
  <c r="M5" i="15"/>
  <c r="N5" i="15" s="1"/>
  <c r="M4" i="15"/>
  <c r="N4" i="15" s="1"/>
  <c r="M5" i="14"/>
  <c r="N5" i="14" s="1"/>
  <c r="M4" i="14"/>
  <c r="N4" i="14" s="1"/>
  <c r="M5" i="13"/>
  <c r="N5" i="13" s="1"/>
  <c r="M4" i="13"/>
  <c r="N4" i="13" s="1"/>
  <c r="M5" i="12"/>
  <c r="N5" i="12" s="1"/>
  <c r="M4" i="12"/>
  <c r="N4" i="12" s="1"/>
  <c r="M5" i="11"/>
  <c r="N5" i="11" s="1"/>
  <c r="M4" i="11"/>
  <c r="N4" i="11" s="1"/>
  <c r="M5" i="10"/>
  <c r="N5" i="10" s="1"/>
  <c r="M4" i="10"/>
  <c r="N4" i="10" s="1"/>
  <c r="M5" i="9"/>
  <c r="N5" i="9" s="1"/>
  <c r="M4" i="9"/>
  <c r="N4" i="9" s="1"/>
  <c r="M5" i="8"/>
  <c r="N5" i="8" s="1"/>
  <c r="M4" i="8"/>
  <c r="N4" i="8" s="1"/>
  <c r="M5" i="7"/>
  <c r="N5" i="7" s="1"/>
  <c r="M4" i="7"/>
  <c r="N4" i="7" s="1"/>
  <c r="M5" i="6"/>
  <c r="N5" i="6" s="1"/>
  <c r="M4" i="6"/>
  <c r="N4" i="6" s="1"/>
  <c r="M5" i="5"/>
  <c r="N5" i="5" s="1"/>
  <c r="M4" i="5"/>
  <c r="N4" i="5" s="1"/>
  <c r="M5" i="4"/>
  <c r="N5" i="4" s="1"/>
  <c r="M4" i="4"/>
  <c r="N4" i="4" s="1"/>
  <c r="M5" i="3"/>
  <c r="N5" i="3" s="1"/>
  <c r="M4" i="3"/>
  <c r="N4" i="3" s="1"/>
  <c r="M5" i="2"/>
  <c r="N5" i="2" s="1"/>
  <c r="M4" i="2"/>
  <c r="N4" i="2" s="1"/>
  <c r="M4" i="1"/>
  <c r="N4" i="1"/>
  <c r="M5" i="1"/>
  <c r="N5" i="1"/>
  <c r="N8" i="24"/>
  <c r="H8" i="24"/>
  <c r="G5" i="24" s="1"/>
  <c r="H5" i="24" s="1"/>
  <c r="G5" i="31"/>
  <c r="H5" i="31" s="1"/>
  <c r="G4" i="31"/>
  <c r="H4" i="31" s="1"/>
  <c r="G5" i="30"/>
  <c r="H5" i="30" s="1"/>
  <c r="G4" i="30"/>
  <c r="H4" i="30" s="1"/>
  <c r="G5" i="29"/>
  <c r="H5" i="29" s="1"/>
  <c r="G4" i="29"/>
  <c r="H4" i="29" s="1"/>
  <c r="G5" i="28"/>
  <c r="H5" i="28" s="1"/>
  <c r="G4" i="28"/>
  <c r="H4" i="28" s="1"/>
  <c r="G5" i="27"/>
  <c r="H5" i="27" s="1"/>
  <c r="G4" i="27"/>
  <c r="H4" i="27" s="1"/>
  <c r="G5" i="26"/>
  <c r="H5" i="26" s="1"/>
  <c r="G4" i="26"/>
  <c r="H4" i="26" s="1"/>
  <c r="G5" i="25"/>
  <c r="H5" i="25" s="1"/>
  <c r="G4" i="25"/>
  <c r="H4" i="25" s="1"/>
  <c r="G4" i="24"/>
  <c r="H4" i="24" s="1"/>
  <c r="G5" i="23"/>
  <c r="H5" i="23" s="1"/>
  <c r="G4" i="23"/>
  <c r="H4" i="23" s="1"/>
  <c r="G5" i="22"/>
  <c r="H5" i="22" s="1"/>
  <c r="G4" i="22"/>
  <c r="H4" i="22" s="1"/>
  <c r="G5" i="21"/>
  <c r="H5" i="21" s="1"/>
  <c r="G4" i="21"/>
  <c r="H4" i="21" s="1"/>
  <c r="G5" i="20"/>
  <c r="H5" i="20" s="1"/>
  <c r="G4" i="20"/>
  <c r="H4" i="20" s="1"/>
  <c r="G5" i="19"/>
  <c r="H5" i="19" s="1"/>
  <c r="G4" i="19"/>
  <c r="H4" i="19" s="1"/>
  <c r="G5" i="18"/>
  <c r="H5" i="18" s="1"/>
  <c r="G4" i="18"/>
  <c r="H4" i="18" s="1"/>
  <c r="G5" i="17"/>
  <c r="H5" i="17" s="1"/>
  <c r="G4" i="17"/>
  <c r="H4" i="17" s="1"/>
  <c r="G5" i="16"/>
  <c r="H5" i="16" s="1"/>
  <c r="G4" i="16"/>
  <c r="H4" i="16" s="1"/>
  <c r="G5" i="15"/>
  <c r="H5" i="15" s="1"/>
  <c r="G4" i="15"/>
  <c r="H4" i="15" s="1"/>
  <c r="G5" i="14"/>
  <c r="H5" i="14" s="1"/>
  <c r="G4" i="14"/>
  <c r="H4" i="14" s="1"/>
  <c r="G5" i="13"/>
  <c r="H5" i="13" s="1"/>
  <c r="G4" i="13"/>
  <c r="H4" i="13" s="1"/>
  <c r="G5" i="12"/>
  <c r="H5" i="12" s="1"/>
  <c r="G4" i="12"/>
  <c r="H4" i="12" s="1"/>
  <c r="G5" i="11"/>
  <c r="H5" i="11" s="1"/>
  <c r="G4" i="11"/>
  <c r="H4" i="11" s="1"/>
  <c r="G5" i="10"/>
  <c r="H5" i="10" s="1"/>
  <c r="G4" i="10"/>
  <c r="H4" i="10" s="1"/>
  <c r="G5" i="1"/>
  <c r="G4" i="1"/>
  <c r="G5" i="9"/>
  <c r="H5" i="9" s="1"/>
  <c r="G4" i="9"/>
  <c r="H4" i="9" s="1"/>
  <c r="G5" i="8"/>
  <c r="H5" i="8" s="1"/>
  <c r="G4" i="8"/>
  <c r="H4" i="8" s="1"/>
  <c r="G5" i="7"/>
  <c r="H5" i="7" s="1"/>
  <c r="G4" i="7"/>
  <c r="H4" i="7" s="1"/>
  <c r="G5" i="6"/>
  <c r="H5" i="6" s="1"/>
  <c r="G4" i="6"/>
  <c r="H4" i="6" s="1"/>
  <c r="G5" i="5"/>
  <c r="H5" i="5" s="1"/>
  <c r="G4" i="5"/>
  <c r="H4" i="5" s="1"/>
  <c r="G5" i="4"/>
  <c r="H5" i="4" s="1"/>
  <c r="G4" i="4"/>
  <c r="H4" i="4" s="1"/>
  <c r="G5" i="3"/>
  <c r="H5" i="3" s="1"/>
  <c r="G4" i="3"/>
  <c r="H4" i="3" s="1"/>
  <c r="G5" i="2"/>
  <c r="H5" i="2" s="1"/>
  <c r="G4" i="2"/>
  <c r="H4" i="2" s="1"/>
  <c r="N8" i="19"/>
  <c r="H8" i="19"/>
  <c r="G7" i="27" l="1"/>
  <c r="E26" i="31"/>
  <c r="D25" i="31"/>
  <c r="C25" i="31" s="1"/>
  <c r="D24" i="31"/>
  <c r="C24" i="31" s="1"/>
  <c r="D23" i="31"/>
  <c r="C23" i="31" s="1"/>
  <c r="D22" i="31"/>
  <c r="C22" i="31" s="1"/>
  <c r="D21" i="31"/>
  <c r="C21" i="31" s="1"/>
  <c r="D20" i="31"/>
  <c r="C20" i="31" s="1"/>
  <c r="D19" i="31"/>
  <c r="C19" i="31" s="1"/>
  <c r="D18" i="31"/>
  <c r="C18" i="31" s="1"/>
  <c r="D17" i="31"/>
  <c r="C17" i="31"/>
  <c r="J16" i="31"/>
  <c r="I16" i="31"/>
  <c r="H16" i="31"/>
  <c r="D16" i="31"/>
  <c r="C16" i="31" s="1"/>
  <c r="D15" i="31"/>
  <c r="C15" i="31" s="1"/>
  <c r="C32" i="31" s="1"/>
  <c r="Q7" i="31"/>
  <c r="E7" i="31"/>
  <c r="R6" i="31"/>
  <c r="P6" i="31"/>
  <c r="N6" i="31"/>
  <c r="L6" i="31"/>
  <c r="J6" i="31"/>
  <c r="H6" i="31"/>
  <c r="F6" i="31"/>
  <c r="X5" i="31"/>
  <c r="S6" i="31" s="1"/>
  <c r="T6" i="31" s="1"/>
  <c r="R5" i="31"/>
  <c r="P5" i="31"/>
  <c r="O5" i="31"/>
  <c r="O7" i="31" s="1"/>
  <c r="L5" i="31"/>
  <c r="I5" i="31"/>
  <c r="J5" i="31" s="1"/>
  <c r="J7" i="31" s="1"/>
  <c r="J9" i="31" s="1"/>
  <c r="F5" i="31"/>
  <c r="X4" i="31"/>
  <c r="S4" i="31"/>
  <c r="R4" i="31"/>
  <c r="R7" i="31" s="1"/>
  <c r="R9" i="31" s="1"/>
  <c r="P4" i="31"/>
  <c r="P7" i="31" s="1"/>
  <c r="P9" i="31" s="1"/>
  <c r="I4" i="31"/>
  <c r="I7" i="31" s="1"/>
  <c r="F4" i="31"/>
  <c r="F7" i="31" s="1"/>
  <c r="F9" i="31" s="1"/>
  <c r="E26" i="30"/>
  <c r="D25" i="30"/>
  <c r="C25" i="30" s="1"/>
  <c r="D24" i="30"/>
  <c r="C24" i="30" s="1"/>
  <c r="D23" i="30"/>
  <c r="C23" i="30" s="1"/>
  <c r="D22" i="30"/>
  <c r="C22" i="30" s="1"/>
  <c r="D21" i="30"/>
  <c r="C21" i="30"/>
  <c r="D20" i="30"/>
  <c r="C20" i="30" s="1"/>
  <c r="D19" i="30"/>
  <c r="C19" i="30" s="1"/>
  <c r="D18" i="30"/>
  <c r="C18" i="30" s="1"/>
  <c r="D17" i="30"/>
  <c r="C17" i="30" s="1"/>
  <c r="J16" i="30"/>
  <c r="I16" i="30"/>
  <c r="H16" i="30"/>
  <c r="D16" i="30"/>
  <c r="C16" i="30"/>
  <c r="D15" i="30"/>
  <c r="C15" i="30" s="1"/>
  <c r="C26" i="30" s="1"/>
  <c r="Q7" i="30"/>
  <c r="O7" i="30"/>
  <c r="K7" i="30"/>
  <c r="E7" i="30"/>
  <c r="R6" i="30"/>
  <c r="P6" i="30"/>
  <c r="N6" i="30"/>
  <c r="L6" i="30"/>
  <c r="J6" i="30"/>
  <c r="H6" i="30"/>
  <c r="F6" i="30"/>
  <c r="D6" i="30"/>
  <c r="X5" i="30"/>
  <c r="S6" i="30" s="1"/>
  <c r="T6" i="30" s="1"/>
  <c r="R5" i="30"/>
  <c r="O5" i="30"/>
  <c r="P5" i="30" s="1"/>
  <c r="L5" i="30"/>
  <c r="I5" i="30"/>
  <c r="J5" i="30" s="1"/>
  <c r="J7" i="30" s="1"/>
  <c r="J9" i="30" s="1"/>
  <c r="F5" i="30"/>
  <c r="X4" i="30"/>
  <c r="S4" i="30"/>
  <c r="T4" i="30" s="1"/>
  <c r="R4" i="30"/>
  <c r="P4" i="30"/>
  <c r="L4" i="30"/>
  <c r="L7" i="30" s="1"/>
  <c r="L9" i="30" s="1"/>
  <c r="I4" i="30"/>
  <c r="I7" i="30" s="1"/>
  <c r="F4" i="30"/>
  <c r="F7" i="30" s="1"/>
  <c r="F9" i="30" s="1"/>
  <c r="D4" i="30"/>
  <c r="E26" i="29"/>
  <c r="D25" i="29"/>
  <c r="C25" i="29" s="1"/>
  <c r="D24" i="29"/>
  <c r="C24" i="29" s="1"/>
  <c r="D23" i="29"/>
  <c r="C23" i="29"/>
  <c r="D22" i="29"/>
  <c r="C22" i="29" s="1"/>
  <c r="D21" i="29"/>
  <c r="C21" i="29"/>
  <c r="D20" i="29"/>
  <c r="C20" i="29"/>
  <c r="D19" i="29"/>
  <c r="C19" i="29"/>
  <c r="D18" i="29"/>
  <c r="C18" i="29" s="1"/>
  <c r="D17" i="29"/>
  <c r="C17" i="29"/>
  <c r="J16" i="29"/>
  <c r="I16" i="29"/>
  <c r="H16" i="29"/>
  <c r="D16" i="29"/>
  <c r="C16" i="29" s="1"/>
  <c r="D15" i="29"/>
  <c r="C15" i="29" s="1"/>
  <c r="C32" i="29" s="1"/>
  <c r="Q7" i="29"/>
  <c r="O7" i="29"/>
  <c r="I7" i="29"/>
  <c r="E7" i="29"/>
  <c r="R6" i="29"/>
  <c r="P6" i="29"/>
  <c r="N6" i="29"/>
  <c r="L6" i="29"/>
  <c r="J6" i="29"/>
  <c r="H6" i="29"/>
  <c r="F6" i="29"/>
  <c r="F7" i="29" s="1"/>
  <c r="F9" i="29" s="1"/>
  <c r="D6" i="29"/>
  <c r="X5" i="29"/>
  <c r="S6" i="29" s="1"/>
  <c r="R5" i="29"/>
  <c r="P5" i="29"/>
  <c r="O5" i="29"/>
  <c r="L5" i="29"/>
  <c r="I5" i="29"/>
  <c r="J5" i="29" s="1"/>
  <c r="J7" i="29" s="1"/>
  <c r="J9" i="29" s="1"/>
  <c r="F5" i="29"/>
  <c r="D5" i="29"/>
  <c r="X4" i="29"/>
  <c r="S4" i="29" s="1"/>
  <c r="R4" i="29"/>
  <c r="P4" i="29"/>
  <c r="P7" i="29" s="1"/>
  <c r="P9" i="29" s="1"/>
  <c r="I4" i="29"/>
  <c r="F4" i="29"/>
  <c r="E26" i="28"/>
  <c r="D25" i="28"/>
  <c r="C25" i="28" s="1"/>
  <c r="D24" i="28"/>
  <c r="C24" i="28"/>
  <c r="D23" i="28"/>
  <c r="C23" i="28" s="1"/>
  <c r="D22" i="28"/>
  <c r="C22" i="28" s="1"/>
  <c r="D21" i="28"/>
  <c r="C21" i="28" s="1"/>
  <c r="D20" i="28"/>
  <c r="C20" i="28" s="1"/>
  <c r="D19" i="28"/>
  <c r="C19" i="28"/>
  <c r="D18" i="28"/>
  <c r="C18" i="28"/>
  <c r="D17" i="28"/>
  <c r="C17" i="28" s="1"/>
  <c r="J16" i="28"/>
  <c r="I16" i="28"/>
  <c r="H16" i="28"/>
  <c r="D16" i="28"/>
  <c r="C16" i="28" s="1"/>
  <c r="D15" i="28"/>
  <c r="C15" i="28" s="1"/>
  <c r="Q7" i="28"/>
  <c r="E7" i="28"/>
  <c r="B7" i="28"/>
  <c r="R6" i="28"/>
  <c r="P6" i="28"/>
  <c r="N6" i="28"/>
  <c r="L6" i="28"/>
  <c r="J6" i="28"/>
  <c r="H6" i="28"/>
  <c r="F6" i="28"/>
  <c r="D6" i="28"/>
  <c r="X5" i="28"/>
  <c r="S6" i="28" s="1"/>
  <c r="R5" i="28"/>
  <c r="O5" i="28"/>
  <c r="P5" i="28" s="1"/>
  <c r="L5" i="28"/>
  <c r="I5" i="28"/>
  <c r="J5" i="28" s="1"/>
  <c r="J7" i="28" s="1"/>
  <c r="J9" i="28" s="1"/>
  <c r="F5" i="28"/>
  <c r="D5" i="28"/>
  <c r="X4" i="28"/>
  <c r="S4" i="28" s="1"/>
  <c r="T4" i="28" s="1"/>
  <c r="R4" i="28"/>
  <c r="R7" i="28" s="1"/>
  <c r="R9" i="28" s="1"/>
  <c r="P4" i="28"/>
  <c r="I4" i="28"/>
  <c r="F4" i="28"/>
  <c r="D4" i="28"/>
  <c r="D7" i="28" s="1"/>
  <c r="D11" i="28" s="1"/>
  <c r="E26" i="27"/>
  <c r="D25" i="27"/>
  <c r="C25" i="27" s="1"/>
  <c r="D24" i="27"/>
  <c r="C24" i="27" s="1"/>
  <c r="D23" i="27"/>
  <c r="C23" i="27" s="1"/>
  <c r="D22" i="27"/>
  <c r="C22" i="27" s="1"/>
  <c r="D21" i="27"/>
  <c r="C21" i="27" s="1"/>
  <c r="D20" i="27"/>
  <c r="C20" i="27" s="1"/>
  <c r="D19" i="27"/>
  <c r="C19" i="27" s="1"/>
  <c r="D18" i="27"/>
  <c r="C18" i="27" s="1"/>
  <c r="D17" i="27"/>
  <c r="C17" i="27" s="1"/>
  <c r="J16" i="27"/>
  <c r="I16" i="27"/>
  <c r="H16" i="27"/>
  <c r="D16" i="27"/>
  <c r="C16" i="27" s="1"/>
  <c r="C32" i="27" s="1"/>
  <c r="D15" i="27"/>
  <c r="C15" i="27"/>
  <c r="Q7" i="27"/>
  <c r="E7" i="27"/>
  <c r="R6" i="27"/>
  <c r="P6" i="27"/>
  <c r="N6" i="27"/>
  <c r="L6" i="27"/>
  <c r="J6" i="27"/>
  <c r="H6" i="27"/>
  <c r="F6" i="27"/>
  <c r="D6" i="27"/>
  <c r="U6" i="27"/>
  <c r="X5" i="27"/>
  <c r="S6" i="27" s="1"/>
  <c r="T6" i="27" s="1"/>
  <c r="R5" i="27"/>
  <c r="O5" i="27"/>
  <c r="O7" i="27" s="1"/>
  <c r="L5" i="27"/>
  <c r="J5" i="27"/>
  <c r="J7" i="27" s="1"/>
  <c r="J9" i="27" s="1"/>
  <c r="I5" i="27"/>
  <c r="F5" i="27"/>
  <c r="D5" i="27"/>
  <c r="X4" i="27"/>
  <c r="S4" i="27" s="1"/>
  <c r="R4" i="27"/>
  <c r="P4" i="27"/>
  <c r="K7" i="27"/>
  <c r="I4" i="27"/>
  <c r="I7" i="27" s="1"/>
  <c r="F4" i="27"/>
  <c r="F7" i="27" s="1"/>
  <c r="F9" i="27" s="1"/>
  <c r="E26" i="26"/>
  <c r="D25" i="26"/>
  <c r="C25" i="26" s="1"/>
  <c r="D24" i="26"/>
  <c r="C24" i="26"/>
  <c r="D23" i="26"/>
  <c r="C23" i="26" s="1"/>
  <c r="D22" i="26"/>
  <c r="C22" i="26"/>
  <c r="D21" i="26"/>
  <c r="C21" i="26" s="1"/>
  <c r="D20" i="26"/>
  <c r="C20" i="26"/>
  <c r="D19" i="26"/>
  <c r="C19" i="26" s="1"/>
  <c r="D18" i="26"/>
  <c r="C18" i="26" s="1"/>
  <c r="D17" i="26"/>
  <c r="C17" i="26" s="1"/>
  <c r="J16" i="26"/>
  <c r="I16" i="26"/>
  <c r="H16" i="26"/>
  <c r="D16" i="26"/>
  <c r="C16" i="26" s="1"/>
  <c r="D15" i="26"/>
  <c r="C15" i="26" s="1"/>
  <c r="Q7" i="26"/>
  <c r="J7" i="26"/>
  <c r="J9" i="26" s="1"/>
  <c r="I7" i="26"/>
  <c r="F7" i="26"/>
  <c r="F9" i="26" s="1"/>
  <c r="E7" i="26"/>
  <c r="R6" i="26"/>
  <c r="P6" i="26"/>
  <c r="N6" i="26"/>
  <c r="L6" i="26"/>
  <c r="J6" i="26"/>
  <c r="H6" i="26"/>
  <c r="F6" i="26"/>
  <c r="X5" i="26"/>
  <c r="S6" i="26" s="1"/>
  <c r="T6" i="26" s="1"/>
  <c r="R5" i="26"/>
  <c r="O5" i="26"/>
  <c r="P5" i="26" s="1"/>
  <c r="L5" i="26"/>
  <c r="J5" i="26"/>
  <c r="I5" i="26"/>
  <c r="F5" i="26"/>
  <c r="X4" i="26"/>
  <c r="S4" i="26"/>
  <c r="R4" i="26"/>
  <c r="P4" i="26"/>
  <c r="I4" i="26"/>
  <c r="F4" i="26"/>
  <c r="E26" i="25"/>
  <c r="D25" i="25"/>
  <c r="C25" i="25" s="1"/>
  <c r="D24" i="25"/>
  <c r="C24" i="25"/>
  <c r="D23" i="25"/>
  <c r="C23" i="25" s="1"/>
  <c r="D22" i="25"/>
  <c r="C22" i="25"/>
  <c r="D21" i="25"/>
  <c r="C21" i="25" s="1"/>
  <c r="D20" i="25"/>
  <c r="C20" i="25" s="1"/>
  <c r="D19" i="25"/>
  <c r="C19" i="25" s="1"/>
  <c r="D18" i="25"/>
  <c r="C18" i="25" s="1"/>
  <c r="D17" i="25"/>
  <c r="C17" i="25" s="1"/>
  <c r="J16" i="25"/>
  <c r="I16" i="25"/>
  <c r="H16" i="25"/>
  <c r="D16" i="25"/>
  <c r="C16" i="25" s="1"/>
  <c r="D15" i="25"/>
  <c r="C15" i="25" s="1"/>
  <c r="Q7" i="25"/>
  <c r="E7" i="25"/>
  <c r="R6" i="25"/>
  <c r="P6" i="25"/>
  <c r="N6" i="25"/>
  <c r="L6" i="25"/>
  <c r="J6" i="25"/>
  <c r="H6" i="25"/>
  <c r="F6" i="25"/>
  <c r="X5" i="25"/>
  <c r="S6" i="25" s="1"/>
  <c r="T6" i="25" s="1"/>
  <c r="R5" i="25"/>
  <c r="O5" i="25"/>
  <c r="O7" i="25" s="1"/>
  <c r="L5" i="25"/>
  <c r="J5" i="25"/>
  <c r="J7" i="25" s="1"/>
  <c r="J9" i="25" s="1"/>
  <c r="I5" i="25"/>
  <c r="F5" i="25"/>
  <c r="D5" i="25"/>
  <c r="X4" i="25"/>
  <c r="S4" i="25" s="1"/>
  <c r="R4" i="25"/>
  <c r="P4" i="25"/>
  <c r="K7" i="25"/>
  <c r="I4" i="25"/>
  <c r="I7" i="25" s="1"/>
  <c r="F4" i="25"/>
  <c r="F7" i="25" s="1"/>
  <c r="F9" i="25" s="1"/>
  <c r="B7" i="25"/>
  <c r="E26" i="24"/>
  <c r="D25" i="24"/>
  <c r="C25" i="24" s="1"/>
  <c r="H16" i="24"/>
  <c r="D24" i="24"/>
  <c r="C24" i="24" s="1"/>
  <c r="D23" i="24"/>
  <c r="C23" i="24" s="1"/>
  <c r="D22" i="24"/>
  <c r="C22" i="24" s="1"/>
  <c r="D21" i="24"/>
  <c r="C21" i="24" s="1"/>
  <c r="D20" i="24"/>
  <c r="C20" i="24" s="1"/>
  <c r="D19" i="24"/>
  <c r="C19" i="24" s="1"/>
  <c r="D18" i="24"/>
  <c r="C18" i="24" s="1"/>
  <c r="D17" i="24"/>
  <c r="C17" i="24" s="1"/>
  <c r="J16" i="24"/>
  <c r="I16" i="24"/>
  <c r="D16" i="24"/>
  <c r="C16" i="24" s="1"/>
  <c r="V15" i="24"/>
  <c r="D15" i="24"/>
  <c r="C15" i="24" s="1"/>
  <c r="Q7" i="24"/>
  <c r="J7" i="24"/>
  <c r="J9" i="24" s="1"/>
  <c r="I7" i="24"/>
  <c r="F7" i="24"/>
  <c r="F9" i="24" s="1"/>
  <c r="E7" i="24"/>
  <c r="R6" i="24"/>
  <c r="P6" i="24"/>
  <c r="N6" i="24"/>
  <c r="L6" i="24"/>
  <c r="J6" i="24"/>
  <c r="H6" i="24"/>
  <c r="F6" i="24"/>
  <c r="X5" i="24"/>
  <c r="S6" i="24" s="1"/>
  <c r="T6" i="24" s="1"/>
  <c r="R5" i="24"/>
  <c r="R7" i="24" s="1"/>
  <c r="R9" i="24" s="1"/>
  <c r="O5" i="24"/>
  <c r="P5" i="24" s="1"/>
  <c r="L5" i="24"/>
  <c r="J5" i="24"/>
  <c r="I5" i="24"/>
  <c r="F5" i="24"/>
  <c r="X4" i="24"/>
  <c r="S4" i="24" s="1"/>
  <c r="R4" i="24"/>
  <c r="P4" i="24"/>
  <c r="P7" i="24" s="1"/>
  <c r="P9" i="24" s="1"/>
  <c r="I4" i="24"/>
  <c r="G7" i="24"/>
  <c r="F4" i="24"/>
  <c r="E26" i="23"/>
  <c r="D25" i="23"/>
  <c r="C25" i="23" s="1"/>
  <c r="D24" i="23"/>
  <c r="C24" i="23" s="1"/>
  <c r="D23" i="23"/>
  <c r="C23" i="23" s="1"/>
  <c r="D22" i="23"/>
  <c r="C22" i="23" s="1"/>
  <c r="D21" i="23"/>
  <c r="C21" i="23" s="1"/>
  <c r="D20" i="23"/>
  <c r="C20" i="23" s="1"/>
  <c r="D19" i="23"/>
  <c r="C19" i="23" s="1"/>
  <c r="D18" i="23"/>
  <c r="C18" i="23" s="1"/>
  <c r="D17" i="23"/>
  <c r="C17" i="23" s="1"/>
  <c r="J16" i="23"/>
  <c r="I16" i="23"/>
  <c r="H16" i="23"/>
  <c r="D16" i="23"/>
  <c r="C16" i="23"/>
  <c r="V15" i="23"/>
  <c r="D15" i="23"/>
  <c r="C15" i="23" s="1"/>
  <c r="E7" i="23"/>
  <c r="R6" i="23"/>
  <c r="P6" i="23"/>
  <c r="N6" i="23"/>
  <c r="L6" i="23"/>
  <c r="J6" i="23"/>
  <c r="H6" i="23"/>
  <c r="F6" i="23"/>
  <c r="D6" i="23"/>
  <c r="X5" i="23"/>
  <c r="S6" i="23" s="1"/>
  <c r="T6" i="23" s="1"/>
  <c r="R5" i="23"/>
  <c r="O5" i="23"/>
  <c r="L5" i="23"/>
  <c r="J5" i="23"/>
  <c r="J7" i="23" s="1"/>
  <c r="J9" i="23" s="1"/>
  <c r="I5" i="23"/>
  <c r="F5" i="23"/>
  <c r="X4" i="23"/>
  <c r="S4" i="23"/>
  <c r="R4" i="23"/>
  <c r="P4" i="23"/>
  <c r="I4" i="23"/>
  <c r="I7" i="23" s="1"/>
  <c r="F4" i="23"/>
  <c r="E26" i="22"/>
  <c r="D25" i="22"/>
  <c r="C25" i="22" s="1"/>
  <c r="D24" i="22"/>
  <c r="C24" i="22" s="1"/>
  <c r="D23" i="22"/>
  <c r="C23" i="22" s="1"/>
  <c r="D22" i="22"/>
  <c r="C22" i="22" s="1"/>
  <c r="D21" i="22"/>
  <c r="C21" i="22" s="1"/>
  <c r="D20" i="22"/>
  <c r="C20" i="22" s="1"/>
  <c r="D19" i="22"/>
  <c r="C19" i="22" s="1"/>
  <c r="D18" i="22"/>
  <c r="C18" i="22" s="1"/>
  <c r="D17" i="22"/>
  <c r="C17" i="22" s="1"/>
  <c r="J16" i="22"/>
  <c r="I16" i="22"/>
  <c r="H16" i="22"/>
  <c r="D16" i="22"/>
  <c r="C16" i="22" s="1"/>
  <c r="V15" i="22"/>
  <c r="D15" i="22"/>
  <c r="C15" i="22" s="1"/>
  <c r="Q7" i="22"/>
  <c r="J7" i="22"/>
  <c r="J9" i="22" s="1"/>
  <c r="E7" i="22"/>
  <c r="R6" i="22"/>
  <c r="P6" i="22"/>
  <c r="N6" i="22"/>
  <c r="L6" i="22"/>
  <c r="J6" i="22"/>
  <c r="H6" i="22"/>
  <c r="F6" i="22"/>
  <c r="D6" i="22"/>
  <c r="X5" i="22"/>
  <c r="S6" i="22" s="1"/>
  <c r="R5" i="22"/>
  <c r="O5" i="22"/>
  <c r="O7" i="22" s="1"/>
  <c r="L5" i="22"/>
  <c r="J5" i="22"/>
  <c r="I5" i="22"/>
  <c r="F5" i="22"/>
  <c r="D5" i="22"/>
  <c r="X4" i="22"/>
  <c r="S4" i="22" s="1"/>
  <c r="R4" i="22"/>
  <c r="R7" i="22" s="1"/>
  <c r="R9" i="22" s="1"/>
  <c r="P4" i="22"/>
  <c r="K7" i="22"/>
  <c r="I4" i="22"/>
  <c r="I7" i="22" s="1"/>
  <c r="F4" i="22"/>
  <c r="F7" i="22" s="1"/>
  <c r="F9" i="22" s="1"/>
  <c r="E26" i="21"/>
  <c r="D25" i="21"/>
  <c r="C25" i="21" s="1"/>
  <c r="D24" i="21"/>
  <c r="C24" i="21" s="1"/>
  <c r="D23" i="21"/>
  <c r="C23" i="21" s="1"/>
  <c r="D22" i="21"/>
  <c r="C22" i="21" s="1"/>
  <c r="D21" i="21"/>
  <c r="C21" i="21" s="1"/>
  <c r="D20" i="21"/>
  <c r="C20" i="21" s="1"/>
  <c r="D19" i="21"/>
  <c r="C19" i="21" s="1"/>
  <c r="D18" i="21"/>
  <c r="C18" i="21" s="1"/>
  <c r="D17" i="21"/>
  <c r="C17" i="21" s="1"/>
  <c r="J16" i="21"/>
  <c r="I16" i="21"/>
  <c r="H16" i="21"/>
  <c r="D16" i="21"/>
  <c r="C16" i="21" s="1"/>
  <c r="D15" i="21"/>
  <c r="C15" i="21"/>
  <c r="Q7" i="21"/>
  <c r="O7" i="21"/>
  <c r="F7" i="21"/>
  <c r="F9" i="21" s="1"/>
  <c r="E7" i="21"/>
  <c r="R6" i="21"/>
  <c r="P6" i="21"/>
  <c r="N6" i="21"/>
  <c r="L6" i="21"/>
  <c r="J6" i="21"/>
  <c r="H6" i="21"/>
  <c r="F6" i="21"/>
  <c r="U6" i="21"/>
  <c r="X5" i="21"/>
  <c r="S6" i="21" s="1"/>
  <c r="T6" i="21" s="1"/>
  <c r="R5" i="21"/>
  <c r="P5" i="21"/>
  <c r="O5" i="21"/>
  <c r="L5" i="21"/>
  <c r="I5" i="21"/>
  <c r="J5" i="21" s="1"/>
  <c r="J7" i="21" s="1"/>
  <c r="J9" i="21" s="1"/>
  <c r="F5" i="21"/>
  <c r="D5" i="21"/>
  <c r="X4" i="21"/>
  <c r="S4" i="21" s="1"/>
  <c r="T4" i="21" s="1"/>
  <c r="R4" i="21"/>
  <c r="P4" i="21"/>
  <c r="P7" i="21" s="1"/>
  <c r="P9" i="21" s="1"/>
  <c r="I4" i="21"/>
  <c r="I7" i="21" s="1"/>
  <c r="F4" i="21"/>
  <c r="D4" i="21"/>
  <c r="B7" i="21"/>
  <c r="E26" i="20"/>
  <c r="D25" i="20"/>
  <c r="C25" i="20" s="1"/>
  <c r="D24" i="20"/>
  <c r="C24" i="20" s="1"/>
  <c r="D23" i="20"/>
  <c r="C23" i="20" s="1"/>
  <c r="D22" i="20"/>
  <c r="C22" i="20" s="1"/>
  <c r="D21" i="20"/>
  <c r="C21" i="20" s="1"/>
  <c r="D20" i="20"/>
  <c r="C20" i="20" s="1"/>
  <c r="D19" i="20"/>
  <c r="C19" i="20"/>
  <c r="D18" i="20"/>
  <c r="C18" i="20" s="1"/>
  <c r="D17" i="20"/>
  <c r="C17" i="20" s="1"/>
  <c r="J16" i="20"/>
  <c r="I16" i="20"/>
  <c r="H16" i="20"/>
  <c r="D16" i="20"/>
  <c r="C16" i="20" s="1"/>
  <c r="D15" i="20"/>
  <c r="C15" i="20" s="1"/>
  <c r="Q7" i="20"/>
  <c r="I7" i="20"/>
  <c r="E7" i="20"/>
  <c r="S6" i="20"/>
  <c r="U6" i="20" s="1"/>
  <c r="R6" i="20"/>
  <c r="P6" i="20"/>
  <c r="N6" i="20"/>
  <c r="L6" i="20"/>
  <c r="J6" i="20"/>
  <c r="H6" i="20"/>
  <c r="F6" i="20"/>
  <c r="D6" i="20"/>
  <c r="X5" i="20"/>
  <c r="R5" i="20"/>
  <c r="P5" i="20"/>
  <c r="O5" i="20"/>
  <c r="O7" i="20" s="1"/>
  <c r="L5" i="20"/>
  <c r="J5" i="20"/>
  <c r="J7" i="20" s="1"/>
  <c r="J9" i="20" s="1"/>
  <c r="I5" i="20"/>
  <c r="F5" i="20"/>
  <c r="X4" i="20"/>
  <c r="S4" i="20" s="1"/>
  <c r="R4" i="20"/>
  <c r="R7" i="20" s="1"/>
  <c r="R9" i="20" s="1"/>
  <c r="P4" i="20"/>
  <c r="P7" i="20" s="1"/>
  <c r="P9" i="20" s="1"/>
  <c r="I4" i="20"/>
  <c r="F4" i="20"/>
  <c r="F7" i="20" s="1"/>
  <c r="F9" i="20" s="1"/>
  <c r="D4" i="20"/>
  <c r="E26" i="19"/>
  <c r="D25" i="19"/>
  <c r="C25" i="19" s="1"/>
  <c r="D24" i="19"/>
  <c r="C24" i="19" s="1"/>
  <c r="D23" i="19"/>
  <c r="C23" i="19" s="1"/>
  <c r="D22" i="19"/>
  <c r="C22" i="19" s="1"/>
  <c r="D21" i="19"/>
  <c r="C21" i="19"/>
  <c r="D20" i="19"/>
  <c r="C20" i="19" s="1"/>
  <c r="D19" i="19"/>
  <c r="C19" i="19" s="1"/>
  <c r="D18" i="19"/>
  <c r="C18" i="19"/>
  <c r="D17" i="19"/>
  <c r="C17" i="19"/>
  <c r="J16" i="19"/>
  <c r="I16" i="19"/>
  <c r="H16" i="19"/>
  <c r="D16" i="19"/>
  <c r="C16" i="19" s="1"/>
  <c r="D15" i="19"/>
  <c r="C15" i="19" s="1"/>
  <c r="X3" i="19" s="1"/>
  <c r="S5" i="19" s="1"/>
  <c r="Q7" i="19"/>
  <c r="O7" i="19"/>
  <c r="K7" i="19"/>
  <c r="E7" i="19"/>
  <c r="R6" i="19"/>
  <c r="P6" i="19"/>
  <c r="N6" i="19"/>
  <c r="L6" i="19"/>
  <c r="J6" i="19"/>
  <c r="H6" i="19"/>
  <c r="F6" i="19"/>
  <c r="F7" i="19" s="1"/>
  <c r="F9" i="19" s="1"/>
  <c r="D6" i="19"/>
  <c r="X5" i="19"/>
  <c r="S6" i="19" s="1"/>
  <c r="T6" i="19" s="1"/>
  <c r="R5" i="19"/>
  <c r="P5" i="19"/>
  <c r="O5" i="19"/>
  <c r="L5" i="19"/>
  <c r="I5" i="19"/>
  <c r="J5" i="19" s="1"/>
  <c r="J7" i="19" s="1"/>
  <c r="J9" i="19" s="1"/>
  <c r="F5" i="19"/>
  <c r="D5" i="19"/>
  <c r="X4" i="19"/>
  <c r="S4" i="19"/>
  <c r="R4" i="19"/>
  <c r="R7" i="19" s="1"/>
  <c r="R9" i="19" s="1"/>
  <c r="P4" i="19"/>
  <c r="L4" i="19"/>
  <c r="L7" i="19" s="1"/>
  <c r="L9" i="19" s="1"/>
  <c r="I4" i="19"/>
  <c r="F4" i="19"/>
  <c r="B7" i="19"/>
  <c r="E26" i="18"/>
  <c r="D25" i="18"/>
  <c r="C25" i="18"/>
  <c r="D24" i="18"/>
  <c r="C24" i="18" s="1"/>
  <c r="D23" i="18"/>
  <c r="C23" i="18" s="1"/>
  <c r="D22" i="18"/>
  <c r="C22" i="18" s="1"/>
  <c r="D21" i="18"/>
  <c r="C21" i="18" s="1"/>
  <c r="D20" i="18"/>
  <c r="C20" i="18"/>
  <c r="D19" i="18"/>
  <c r="C19" i="18"/>
  <c r="D18" i="18"/>
  <c r="C18" i="18" s="1"/>
  <c r="D17" i="18"/>
  <c r="C17" i="18" s="1"/>
  <c r="J16" i="18"/>
  <c r="I16" i="18"/>
  <c r="H16" i="18"/>
  <c r="D16" i="18"/>
  <c r="C16" i="18" s="1"/>
  <c r="D15" i="18"/>
  <c r="C15" i="18" s="1"/>
  <c r="Q7" i="18"/>
  <c r="I7" i="18"/>
  <c r="E7" i="18"/>
  <c r="R6" i="18"/>
  <c r="P6" i="18"/>
  <c r="N6" i="18"/>
  <c r="L6" i="18"/>
  <c r="J6" i="18"/>
  <c r="H6" i="18"/>
  <c r="F6" i="18"/>
  <c r="X5" i="18"/>
  <c r="S6" i="18" s="1"/>
  <c r="T6" i="18" s="1"/>
  <c r="R5" i="18"/>
  <c r="P5" i="18"/>
  <c r="O5" i="18"/>
  <c r="O7" i="18" s="1"/>
  <c r="L5" i="18"/>
  <c r="J5" i="18"/>
  <c r="J7" i="18" s="1"/>
  <c r="J9" i="18" s="1"/>
  <c r="I5" i="18"/>
  <c r="F5" i="18"/>
  <c r="D5" i="18"/>
  <c r="X4" i="18"/>
  <c r="S4" i="18" s="1"/>
  <c r="R4" i="18"/>
  <c r="R7" i="18" s="1"/>
  <c r="R9" i="18" s="1"/>
  <c r="P4" i="18"/>
  <c r="P7" i="18" s="1"/>
  <c r="P9" i="18" s="1"/>
  <c r="I4" i="18"/>
  <c r="F4" i="18"/>
  <c r="F7" i="18" s="1"/>
  <c r="F9" i="18" s="1"/>
  <c r="B7" i="18"/>
  <c r="E26" i="17"/>
  <c r="D25" i="17"/>
  <c r="C25" i="17" s="1"/>
  <c r="D24" i="17"/>
  <c r="C24" i="17" s="1"/>
  <c r="D23" i="17"/>
  <c r="C23" i="17" s="1"/>
  <c r="D22" i="17"/>
  <c r="C22" i="17"/>
  <c r="D21" i="17"/>
  <c r="C21" i="17" s="1"/>
  <c r="D20" i="17"/>
  <c r="C20" i="17" s="1"/>
  <c r="D19" i="17"/>
  <c r="C19" i="17" s="1"/>
  <c r="D18" i="17"/>
  <c r="C18" i="17" s="1"/>
  <c r="D17" i="17"/>
  <c r="C17" i="17" s="1"/>
  <c r="J16" i="17"/>
  <c r="I16" i="17"/>
  <c r="H16" i="17"/>
  <c r="D16" i="17"/>
  <c r="C16" i="17" s="1"/>
  <c r="V15" i="17"/>
  <c r="D15" i="17"/>
  <c r="C15" i="17" s="1"/>
  <c r="Q7" i="17"/>
  <c r="O7" i="17"/>
  <c r="K7" i="17"/>
  <c r="E7" i="17"/>
  <c r="R6" i="17"/>
  <c r="P6" i="17"/>
  <c r="N6" i="17"/>
  <c r="L6" i="17"/>
  <c r="J6" i="17"/>
  <c r="H6" i="17"/>
  <c r="F6" i="17"/>
  <c r="D6" i="17"/>
  <c r="X5" i="17"/>
  <c r="S6" i="17" s="1"/>
  <c r="T6" i="17" s="1"/>
  <c r="R5" i="17"/>
  <c r="O5" i="17"/>
  <c r="P5" i="17" s="1"/>
  <c r="L5" i="17"/>
  <c r="I5" i="17"/>
  <c r="J5" i="17" s="1"/>
  <c r="J7" i="17" s="1"/>
  <c r="J9" i="17" s="1"/>
  <c r="F5" i="17"/>
  <c r="D5" i="17"/>
  <c r="X4" i="17"/>
  <c r="S4" i="17"/>
  <c r="T4" i="17" s="1"/>
  <c r="R4" i="17"/>
  <c r="P4" i="17"/>
  <c r="P7" i="17" s="1"/>
  <c r="P9" i="17" s="1"/>
  <c r="L4" i="17"/>
  <c r="L7" i="17" s="1"/>
  <c r="L9" i="17" s="1"/>
  <c r="I4" i="17"/>
  <c r="I7" i="17" s="1"/>
  <c r="F4" i="17"/>
  <c r="F7" i="17" s="1"/>
  <c r="F9" i="17" s="1"/>
  <c r="D4" i="17"/>
  <c r="D7" i="17" s="1"/>
  <c r="D11" i="17" s="1"/>
  <c r="E26" i="16"/>
  <c r="D25" i="16"/>
  <c r="C25" i="16"/>
  <c r="D24" i="16"/>
  <c r="C24" i="16" s="1"/>
  <c r="D23" i="16"/>
  <c r="C23" i="16" s="1"/>
  <c r="D22" i="16"/>
  <c r="C22" i="16" s="1"/>
  <c r="D21" i="16"/>
  <c r="C21" i="16" s="1"/>
  <c r="D20" i="16"/>
  <c r="C20" i="16" s="1"/>
  <c r="D19" i="16"/>
  <c r="C19" i="16" s="1"/>
  <c r="D18" i="16"/>
  <c r="C18" i="16" s="1"/>
  <c r="D17" i="16"/>
  <c r="C17" i="16" s="1"/>
  <c r="J16" i="16"/>
  <c r="I16" i="16"/>
  <c r="H16" i="16"/>
  <c r="D16" i="16"/>
  <c r="C16" i="16" s="1"/>
  <c r="D15" i="16"/>
  <c r="C15" i="16" s="1"/>
  <c r="Q7" i="16"/>
  <c r="I7" i="16"/>
  <c r="E7" i="16"/>
  <c r="R6" i="16"/>
  <c r="P6" i="16"/>
  <c r="N6" i="16"/>
  <c r="L6" i="16"/>
  <c r="J6" i="16"/>
  <c r="H6" i="16"/>
  <c r="F6" i="16"/>
  <c r="X5" i="16"/>
  <c r="S6" i="16" s="1"/>
  <c r="T6" i="16" s="1"/>
  <c r="R5" i="16"/>
  <c r="P5" i="16"/>
  <c r="O5" i="16"/>
  <c r="O7" i="16" s="1"/>
  <c r="L5" i="16"/>
  <c r="J5" i="16"/>
  <c r="J7" i="16" s="1"/>
  <c r="J9" i="16" s="1"/>
  <c r="I5" i="16"/>
  <c r="F5" i="16"/>
  <c r="D5" i="16"/>
  <c r="X4" i="16"/>
  <c r="S4" i="16" s="1"/>
  <c r="R4" i="16"/>
  <c r="R7" i="16" s="1"/>
  <c r="R9" i="16" s="1"/>
  <c r="P4" i="16"/>
  <c r="P7" i="16" s="1"/>
  <c r="P9" i="16" s="1"/>
  <c r="I4" i="16"/>
  <c r="F4" i="16"/>
  <c r="F7" i="16" s="1"/>
  <c r="F9" i="16" s="1"/>
  <c r="B7" i="16"/>
  <c r="H27" i="15"/>
  <c r="E26" i="15"/>
  <c r="D25" i="15"/>
  <c r="C25" i="15" s="1"/>
  <c r="J24" i="15"/>
  <c r="I24" i="15"/>
  <c r="H24" i="15"/>
  <c r="D24" i="15"/>
  <c r="C24" i="15"/>
  <c r="D23" i="15"/>
  <c r="C23" i="15" s="1"/>
  <c r="D22" i="15"/>
  <c r="C22" i="15"/>
  <c r="D21" i="15"/>
  <c r="C21" i="15"/>
  <c r="D20" i="15"/>
  <c r="C20" i="15" s="1"/>
  <c r="H19" i="15"/>
  <c r="D19" i="15"/>
  <c r="C19" i="15" s="1"/>
  <c r="D18" i="15"/>
  <c r="C18" i="15"/>
  <c r="D17" i="15"/>
  <c r="C17" i="15"/>
  <c r="J16" i="15"/>
  <c r="I16" i="15"/>
  <c r="H16" i="15"/>
  <c r="D16" i="15"/>
  <c r="C16" i="15"/>
  <c r="D15" i="15"/>
  <c r="C15" i="15"/>
  <c r="Q7" i="15"/>
  <c r="O7" i="15"/>
  <c r="K7" i="15"/>
  <c r="F7" i="15"/>
  <c r="F9" i="15" s="1"/>
  <c r="E7" i="15"/>
  <c r="R6" i="15"/>
  <c r="P6" i="15"/>
  <c r="N6" i="15"/>
  <c r="L6" i="15"/>
  <c r="J6" i="15"/>
  <c r="H6" i="15"/>
  <c r="F6" i="15"/>
  <c r="D6" i="15"/>
  <c r="X5" i="15"/>
  <c r="S6" i="15" s="1"/>
  <c r="T6" i="15" s="1"/>
  <c r="R5" i="15"/>
  <c r="O5" i="15"/>
  <c r="P5" i="15" s="1"/>
  <c r="L5" i="15"/>
  <c r="I5" i="15"/>
  <c r="J5" i="15" s="1"/>
  <c r="J7" i="15" s="1"/>
  <c r="J9" i="15" s="1"/>
  <c r="F5" i="15"/>
  <c r="D5" i="15"/>
  <c r="X4" i="15"/>
  <c r="S4" i="15" s="1"/>
  <c r="T4" i="15" s="1"/>
  <c r="R4" i="15"/>
  <c r="P4" i="15"/>
  <c r="L4" i="15"/>
  <c r="L7" i="15" s="1"/>
  <c r="L9" i="15" s="1"/>
  <c r="I4" i="15"/>
  <c r="I7" i="15" s="1"/>
  <c r="F4" i="15"/>
  <c r="D4" i="15"/>
  <c r="E26" i="14"/>
  <c r="D25" i="14"/>
  <c r="C25" i="14" s="1"/>
  <c r="D24" i="14"/>
  <c r="C24" i="14" s="1"/>
  <c r="D23" i="14"/>
  <c r="C23" i="14" s="1"/>
  <c r="D22" i="14"/>
  <c r="C22" i="14" s="1"/>
  <c r="D21" i="14"/>
  <c r="C21" i="14" s="1"/>
  <c r="D20" i="14"/>
  <c r="C20" i="14" s="1"/>
  <c r="D19" i="14"/>
  <c r="C19" i="14"/>
  <c r="D18" i="14"/>
  <c r="C18" i="14" s="1"/>
  <c r="D17" i="14"/>
  <c r="C17" i="14" s="1"/>
  <c r="J16" i="14"/>
  <c r="I16" i="14"/>
  <c r="H16" i="14"/>
  <c r="D16" i="14"/>
  <c r="C16" i="14" s="1"/>
  <c r="D15" i="14"/>
  <c r="C15" i="14" s="1"/>
  <c r="Q7" i="14"/>
  <c r="E7" i="14"/>
  <c r="R6" i="14"/>
  <c r="P6" i="14"/>
  <c r="N6" i="14"/>
  <c r="L6" i="14"/>
  <c r="J6" i="14"/>
  <c r="H6" i="14"/>
  <c r="F6" i="14"/>
  <c r="D6" i="14"/>
  <c r="U6" i="14"/>
  <c r="X5" i="14"/>
  <c r="S6" i="14" s="1"/>
  <c r="T6" i="14" s="1"/>
  <c r="R5" i="14"/>
  <c r="P5" i="14"/>
  <c r="O5" i="14"/>
  <c r="O7" i="14" s="1"/>
  <c r="L5" i="14"/>
  <c r="J5" i="14"/>
  <c r="J7" i="14" s="1"/>
  <c r="J9" i="14" s="1"/>
  <c r="I5" i="14"/>
  <c r="F5" i="14"/>
  <c r="X4" i="14"/>
  <c r="S4" i="14" s="1"/>
  <c r="R4" i="14"/>
  <c r="P4" i="14"/>
  <c r="P7" i="14" s="1"/>
  <c r="P9" i="14" s="1"/>
  <c r="I4" i="14"/>
  <c r="I7" i="14" s="1"/>
  <c r="F4" i="14"/>
  <c r="F7" i="14" s="1"/>
  <c r="F9" i="14" s="1"/>
  <c r="E26" i="13"/>
  <c r="D25" i="13"/>
  <c r="C25" i="13" s="1"/>
  <c r="D24" i="13"/>
  <c r="C24" i="13" s="1"/>
  <c r="D23" i="13"/>
  <c r="C23" i="13"/>
  <c r="D22" i="13"/>
  <c r="C22" i="13" s="1"/>
  <c r="D21" i="13"/>
  <c r="C21" i="13"/>
  <c r="D20" i="13"/>
  <c r="C20" i="13" s="1"/>
  <c r="D19" i="13"/>
  <c r="C19" i="13" s="1"/>
  <c r="D18" i="13"/>
  <c r="C18" i="13" s="1"/>
  <c r="D17" i="13"/>
  <c r="C17" i="13" s="1"/>
  <c r="J16" i="13"/>
  <c r="I16" i="13"/>
  <c r="H16" i="13"/>
  <c r="D16" i="13"/>
  <c r="C16" i="13" s="1"/>
  <c r="D15" i="13"/>
  <c r="C15" i="13"/>
  <c r="Q7" i="13"/>
  <c r="E7" i="13"/>
  <c r="R6" i="13"/>
  <c r="P6" i="13"/>
  <c r="N6" i="13"/>
  <c r="L6" i="13"/>
  <c r="J6" i="13"/>
  <c r="H6" i="13"/>
  <c r="F6" i="13"/>
  <c r="D6" i="13"/>
  <c r="X5" i="13"/>
  <c r="S6" i="13" s="1"/>
  <c r="T6" i="13" s="1"/>
  <c r="R5" i="13"/>
  <c r="P5" i="13"/>
  <c r="O5" i="13"/>
  <c r="O7" i="13" s="1"/>
  <c r="L5" i="13"/>
  <c r="I5" i="13"/>
  <c r="J5" i="13" s="1"/>
  <c r="J7" i="13" s="1"/>
  <c r="J9" i="13" s="1"/>
  <c r="F5" i="13"/>
  <c r="D5" i="13"/>
  <c r="X4" i="13"/>
  <c r="S4" i="13" s="1"/>
  <c r="R4" i="13"/>
  <c r="R7" i="13" s="1"/>
  <c r="R9" i="13" s="1"/>
  <c r="P4" i="13"/>
  <c r="P7" i="13" s="1"/>
  <c r="P9" i="13" s="1"/>
  <c r="L4" i="13"/>
  <c r="L7" i="13" s="1"/>
  <c r="L9" i="13" s="1"/>
  <c r="K7" i="13"/>
  <c r="I4" i="13"/>
  <c r="I7" i="13" s="1"/>
  <c r="F4" i="13"/>
  <c r="F7" i="13" s="1"/>
  <c r="F9" i="13" s="1"/>
  <c r="E26" i="12"/>
  <c r="D25" i="12"/>
  <c r="C25" i="12" s="1"/>
  <c r="D24" i="12"/>
  <c r="C24" i="12" s="1"/>
  <c r="D23" i="12"/>
  <c r="C23" i="12" s="1"/>
  <c r="D22" i="12"/>
  <c r="C22" i="12" s="1"/>
  <c r="D21" i="12"/>
  <c r="C21" i="12" s="1"/>
  <c r="D20" i="12"/>
  <c r="C20" i="12" s="1"/>
  <c r="D19" i="12"/>
  <c r="C19" i="12"/>
  <c r="D18" i="12"/>
  <c r="C18" i="12" s="1"/>
  <c r="D17" i="12"/>
  <c r="C17" i="12" s="1"/>
  <c r="J16" i="12"/>
  <c r="I16" i="12"/>
  <c r="H16" i="12"/>
  <c r="D16" i="12"/>
  <c r="C16" i="12" s="1"/>
  <c r="V15" i="12"/>
  <c r="D15" i="12"/>
  <c r="C15" i="12" s="1"/>
  <c r="C32" i="12" s="1"/>
  <c r="Q7" i="12"/>
  <c r="O7" i="12"/>
  <c r="E7" i="12"/>
  <c r="R6" i="12"/>
  <c r="P6" i="12"/>
  <c r="N6" i="12"/>
  <c r="L6" i="12"/>
  <c r="J6" i="12"/>
  <c r="H6" i="12"/>
  <c r="F6" i="12"/>
  <c r="X5" i="12"/>
  <c r="S6" i="12" s="1"/>
  <c r="T6" i="12" s="1"/>
  <c r="R5" i="12"/>
  <c r="O5" i="12"/>
  <c r="P5" i="12" s="1"/>
  <c r="L5" i="12"/>
  <c r="I5" i="12"/>
  <c r="J5" i="12" s="1"/>
  <c r="J7" i="12" s="1"/>
  <c r="J9" i="12" s="1"/>
  <c r="F5" i="12"/>
  <c r="D5" i="12"/>
  <c r="X4" i="12"/>
  <c r="S4" i="12" s="1"/>
  <c r="R4" i="12"/>
  <c r="P4" i="12"/>
  <c r="P7" i="12" s="1"/>
  <c r="P9" i="12" s="1"/>
  <c r="I4" i="12"/>
  <c r="I7" i="12" s="1"/>
  <c r="F4" i="12"/>
  <c r="F7" i="12" s="1"/>
  <c r="F9" i="12" s="1"/>
  <c r="D4" i="12"/>
  <c r="E26" i="11"/>
  <c r="D25" i="11"/>
  <c r="C25" i="11"/>
  <c r="D24" i="11"/>
  <c r="C24" i="11" s="1"/>
  <c r="D23" i="11"/>
  <c r="C23" i="11" s="1"/>
  <c r="D22" i="11"/>
  <c r="C22" i="11" s="1"/>
  <c r="D21" i="11"/>
  <c r="C21" i="11" s="1"/>
  <c r="D20" i="11"/>
  <c r="C20" i="11" s="1"/>
  <c r="D19" i="11"/>
  <c r="C19" i="11"/>
  <c r="D18" i="11"/>
  <c r="C18" i="11" s="1"/>
  <c r="D17" i="11"/>
  <c r="C17" i="11"/>
  <c r="J16" i="11"/>
  <c r="I16" i="11"/>
  <c r="H16" i="11"/>
  <c r="D16" i="11"/>
  <c r="C16" i="11" s="1"/>
  <c r="V15" i="11"/>
  <c r="D15" i="11"/>
  <c r="C15" i="11" s="1"/>
  <c r="Q7" i="11"/>
  <c r="K7" i="11"/>
  <c r="E7" i="11"/>
  <c r="R6" i="11"/>
  <c r="P6" i="11"/>
  <c r="N6" i="11"/>
  <c r="L6" i="11"/>
  <c r="J6" i="11"/>
  <c r="H6" i="11"/>
  <c r="F6" i="11"/>
  <c r="X5" i="11"/>
  <c r="S6" i="11" s="1"/>
  <c r="T6" i="11" s="1"/>
  <c r="R5" i="11"/>
  <c r="O5" i="11"/>
  <c r="O7" i="11" s="1"/>
  <c r="L5" i="11"/>
  <c r="I5" i="11"/>
  <c r="J5" i="11" s="1"/>
  <c r="F5" i="11"/>
  <c r="D5" i="11"/>
  <c r="X4" i="11"/>
  <c r="S4" i="11" s="1"/>
  <c r="T4" i="11" s="1"/>
  <c r="R4" i="11"/>
  <c r="P4" i="11"/>
  <c r="L4" i="11"/>
  <c r="L7" i="11" s="1"/>
  <c r="L9" i="11" s="1"/>
  <c r="I4" i="11"/>
  <c r="F4" i="11"/>
  <c r="F7" i="11" s="1"/>
  <c r="F9" i="11" s="1"/>
  <c r="D4" i="11"/>
  <c r="B7" i="11"/>
  <c r="E26" i="10"/>
  <c r="D25" i="10"/>
  <c r="C25" i="10" s="1"/>
  <c r="D24" i="10"/>
  <c r="C24" i="10" s="1"/>
  <c r="D23" i="10"/>
  <c r="C23" i="10"/>
  <c r="D22" i="10"/>
  <c r="C22" i="10" s="1"/>
  <c r="D21" i="10"/>
  <c r="C21" i="10"/>
  <c r="D20" i="10"/>
  <c r="C20" i="10"/>
  <c r="D19" i="10"/>
  <c r="C19" i="10"/>
  <c r="D18" i="10"/>
  <c r="C18" i="10" s="1"/>
  <c r="K7" i="10"/>
  <c r="D17" i="10"/>
  <c r="C17" i="10"/>
  <c r="J16" i="10"/>
  <c r="I16" i="10"/>
  <c r="H16" i="10"/>
  <c r="D16" i="10"/>
  <c r="C16" i="10" s="1"/>
  <c r="V15" i="10"/>
  <c r="D15" i="10"/>
  <c r="C15" i="10" s="1"/>
  <c r="Q7" i="10"/>
  <c r="O7" i="10"/>
  <c r="I7" i="10"/>
  <c r="E7" i="10"/>
  <c r="R6" i="10"/>
  <c r="P6" i="10"/>
  <c r="N6" i="10"/>
  <c r="L6" i="10"/>
  <c r="J6" i="10"/>
  <c r="H6" i="10"/>
  <c r="F6" i="10"/>
  <c r="F7" i="10" s="1"/>
  <c r="F9" i="10" s="1"/>
  <c r="D6" i="10"/>
  <c r="X5" i="10"/>
  <c r="S6" i="10" s="1"/>
  <c r="U6" i="10" s="1"/>
  <c r="R5" i="10"/>
  <c r="P5" i="10"/>
  <c r="O5" i="10"/>
  <c r="L5" i="10"/>
  <c r="I5" i="10"/>
  <c r="J5" i="10" s="1"/>
  <c r="J7" i="10" s="1"/>
  <c r="J9" i="10" s="1"/>
  <c r="F5" i="10"/>
  <c r="D5" i="10"/>
  <c r="X4" i="10"/>
  <c r="S4" i="10" s="1"/>
  <c r="R4" i="10"/>
  <c r="R7" i="10" s="1"/>
  <c r="R9" i="10" s="1"/>
  <c r="P4" i="10"/>
  <c r="L4" i="10"/>
  <c r="L7" i="10" s="1"/>
  <c r="L9" i="10" s="1"/>
  <c r="I4" i="10"/>
  <c r="F4" i="10"/>
  <c r="E26" i="9"/>
  <c r="D25" i="9"/>
  <c r="C25" i="9" s="1"/>
  <c r="I16" i="9"/>
  <c r="D24" i="9"/>
  <c r="C24" i="9" s="1"/>
  <c r="D23" i="9"/>
  <c r="C23" i="9" s="1"/>
  <c r="D22" i="9"/>
  <c r="C22" i="9" s="1"/>
  <c r="D21" i="9"/>
  <c r="C21" i="9"/>
  <c r="D20" i="9"/>
  <c r="C20" i="9" s="1"/>
  <c r="D19" i="9"/>
  <c r="C19" i="9"/>
  <c r="D18" i="9"/>
  <c r="C18" i="9" s="1"/>
  <c r="L4" i="9"/>
  <c r="L7" i="9" s="1"/>
  <c r="L9" i="9" s="1"/>
  <c r="D17" i="9"/>
  <c r="C17" i="9" s="1"/>
  <c r="J16" i="9"/>
  <c r="H16" i="9"/>
  <c r="D16" i="9"/>
  <c r="C16" i="9" s="1"/>
  <c r="V15" i="9"/>
  <c r="D15" i="9"/>
  <c r="C15" i="9" s="1"/>
  <c r="Q7" i="9"/>
  <c r="O7" i="9"/>
  <c r="E7" i="9"/>
  <c r="R6" i="9"/>
  <c r="P6" i="9"/>
  <c r="N6" i="9"/>
  <c r="L6" i="9"/>
  <c r="J6" i="9"/>
  <c r="H6" i="9"/>
  <c r="F6" i="9"/>
  <c r="X5" i="9"/>
  <c r="S6" i="9" s="1"/>
  <c r="T6" i="9" s="1"/>
  <c r="R5" i="9"/>
  <c r="O5" i="9"/>
  <c r="P5" i="9" s="1"/>
  <c r="L5" i="9"/>
  <c r="I5" i="9"/>
  <c r="J5" i="9" s="1"/>
  <c r="F5" i="9"/>
  <c r="X4" i="9"/>
  <c r="S4" i="9" s="1"/>
  <c r="T4" i="9" s="1"/>
  <c r="R4" i="9"/>
  <c r="P4" i="9"/>
  <c r="P7" i="9" s="1"/>
  <c r="P9" i="9" s="1"/>
  <c r="I4" i="9"/>
  <c r="I7" i="9" s="1"/>
  <c r="F4" i="9"/>
  <c r="F7" i="9" s="1"/>
  <c r="F9" i="9" s="1"/>
  <c r="D4" i="9"/>
  <c r="E26" i="8"/>
  <c r="D25" i="8"/>
  <c r="C25" i="8" s="1"/>
  <c r="D24" i="8"/>
  <c r="C24" i="8" s="1"/>
  <c r="D23" i="8"/>
  <c r="C23" i="8" s="1"/>
  <c r="D22" i="8"/>
  <c r="C22" i="8" s="1"/>
  <c r="D21" i="8"/>
  <c r="C21" i="8" s="1"/>
  <c r="D20" i="8"/>
  <c r="C20" i="8" s="1"/>
  <c r="D19" i="8"/>
  <c r="C19" i="8"/>
  <c r="D18" i="8"/>
  <c r="C18" i="8"/>
  <c r="K7" i="8"/>
  <c r="D17" i="8"/>
  <c r="C17" i="8" s="1"/>
  <c r="X3" i="8" s="1"/>
  <c r="S5" i="8" s="1"/>
  <c r="T5" i="8" s="1"/>
  <c r="J16" i="8"/>
  <c r="I16" i="8"/>
  <c r="H16" i="8"/>
  <c r="D16" i="8"/>
  <c r="C16" i="8" s="1"/>
  <c r="V15" i="8"/>
  <c r="D15" i="8"/>
  <c r="C15" i="8"/>
  <c r="Q7" i="8"/>
  <c r="I7" i="8"/>
  <c r="E7" i="8"/>
  <c r="R6" i="8"/>
  <c r="P6" i="8"/>
  <c r="N6" i="8"/>
  <c r="L6" i="8"/>
  <c r="J6" i="8"/>
  <c r="H6" i="8"/>
  <c r="F6" i="8"/>
  <c r="F7" i="8" s="1"/>
  <c r="F9" i="8" s="1"/>
  <c r="D6" i="8"/>
  <c r="X5" i="8"/>
  <c r="S6" i="8" s="1"/>
  <c r="U6" i="8" s="1"/>
  <c r="R5" i="8"/>
  <c r="P5" i="8"/>
  <c r="O5" i="8"/>
  <c r="O7" i="8" s="1"/>
  <c r="L5" i="8"/>
  <c r="I5" i="8"/>
  <c r="J5" i="8" s="1"/>
  <c r="J7" i="8" s="1"/>
  <c r="J9" i="8" s="1"/>
  <c r="F5" i="8"/>
  <c r="D5" i="8"/>
  <c r="X4" i="8"/>
  <c r="S4" i="8" s="1"/>
  <c r="R4" i="8"/>
  <c r="R7" i="8" s="1"/>
  <c r="R9" i="8" s="1"/>
  <c r="P4" i="8"/>
  <c r="I4" i="8"/>
  <c r="F4" i="8"/>
  <c r="E26" i="7"/>
  <c r="D25" i="7"/>
  <c r="C25" i="7" s="1"/>
  <c r="D24" i="7"/>
  <c r="C24" i="7" s="1"/>
  <c r="D23" i="7"/>
  <c r="C23" i="7" s="1"/>
  <c r="D22" i="7"/>
  <c r="C22" i="7"/>
  <c r="D21" i="7"/>
  <c r="C21" i="7"/>
  <c r="D20" i="7"/>
  <c r="C20" i="7" s="1"/>
  <c r="D19" i="7"/>
  <c r="C19" i="7" s="1"/>
  <c r="D18" i="7"/>
  <c r="C18" i="7" s="1"/>
  <c r="D17" i="7"/>
  <c r="C17" i="7" s="1"/>
  <c r="J16" i="7"/>
  <c r="I16" i="7"/>
  <c r="H16" i="7"/>
  <c r="D16" i="7"/>
  <c r="C16" i="7"/>
  <c r="D15" i="7"/>
  <c r="C15" i="7"/>
  <c r="P9" i="7"/>
  <c r="Q7" i="7"/>
  <c r="O7" i="7"/>
  <c r="K7" i="7"/>
  <c r="E7" i="7"/>
  <c r="B7" i="7"/>
  <c r="R6" i="7"/>
  <c r="P6" i="7"/>
  <c r="N6" i="7"/>
  <c r="L6" i="7"/>
  <c r="J6" i="7"/>
  <c r="H6" i="7"/>
  <c r="F6" i="7"/>
  <c r="X5" i="7"/>
  <c r="S6" i="7" s="1"/>
  <c r="T6" i="7" s="1"/>
  <c r="R5" i="7"/>
  <c r="O5" i="7"/>
  <c r="P5" i="7" s="1"/>
  <c r="L5" i="7"/>
  <c r="I5" i="7"/>
  <c r="J5" i="7" s="1"/>
  <c r="J7" i="7" s="1"/>
  <c r="J9" i="7" s="1"/>
  <c r="F5" i="7"/>
  <c r="D5" i="7"/>
  <c r="X4" i="7"/>
  <c r="S4" i="7"/>
  <c r="T4" i="7" s="1"/>
  <c r="R4" i="7"/>
  <c r="R7" i="7" s="1"/>
  <c r="R9" i="7" s="1"/>
  <c r="P4" i="7"/>
  <c r="P7" i="7" s="1"/>
  <c r="L4" i="7"/>
  <c r="L7" i="7" s="1"/>
  <c r="L9" i="7" s="1"/>
  <c r="I4" i="7"/>
  <c r="I7" i="7" s="1"/>
  <c r="F4" i="7"/>
  <c r="F7" i="7" s="1"/>
  <c r="F9" i="7" s="1"/>
  <c r="D4" i="7"/>
  <c r="E26" i="6"/>
  <c r="D25" i="6"/>
  <c r="C25" i="6"/>
  <c r="D24" i="6"/>
  <c r="C24" i="6" s="1"/>
  <c r="D23" i="6"/>
  <c r="C23" i="6" s="1"/>
  <c r="D22" i="6"/>
  <c r="C22" i="6" s="1"/>
  <c r="D21" i="6"/>
  <c r="C21" i="6" s="1"/>
  <c r="D20" i="6"/>
  <c r="C20" i="6" s="1"/>
  <c r="D19" i="6"/>
  <c r="C19" i="6" s="1"/>
  <c r="D18" i="6"/>
  <c r="C18" i="6"/>
  <c r="K7" i="6"/>
  <c r="D17" i="6"/>
  <c r="C17" i="6" s="1"/>
  <c r="J16" i="6"/>
  <c r="I16" i="6"/>
  <c r="H16" i="6"/>
  <c r="D16" i="6"/>
  <c r="C16" i="6" s="1"/>
  <c r="V15" i="6"/>
  <c r="D15" i="6"/>
  <c r="C15" i="6" s="1"/>
  <c r="Q7" i="6"/>
  <c r="I7" i="6"/>
  <c r="E7" i="6"/>
  <c r="R6" i="6"/>
  <c r="P6" i="6"/>
  <c r="N6" i="6"/>
  <c r="L6" i="6"/>
  <c r="J6" i="6"/>
  <c r="H6" i="6"/>
  <c r="F6" i="6"/>
  <c r="F7" i="6" s="1"/>
  <c r="F9" i="6" s="1"/>
  <c r="D6" i="6"/>
  <c r="X5" i="6"/>
  <c r="S6" i="6" s="1"/>
  <c r="U6" i="6" s="1"/>
  <c r="R5" i="6"/>
  <c r="P5" i="6"/>
  <c r="O5" i="6"/>
  <c r="O7" i="6" s="1"/>
  <c r="L5" i="6"/>
  <c r="I5" i="6"/>
  <c r="J5" i="6" s="1"/>
  <c r="J7" i="6" s="1"/>
  <c r="J9" i="6" s="1"/>
  <c r="F5" i="6"/>
  <c r="D5" i="6"/>
  <c r="X4" i="6"/>
  <c r="S4" i="6" s="1"/>
  <c r="R4" i="6"/>
  <c r="R7" i="6" s="1"/>
  <c r="R9" i="6" s="1"/>
  <c r="P4" i="6"/>
  <c r="P7" i="6" s="1"/>
  <c r="P9" i="6" s="1"/>
  <c r="L4" i="6"/>
  <c r="L7" i="6" s="1"/>
  <c r="L9" i="6" s="1"/>
  <c r="I4" i="6"/>
  <c r="F4" i="6"/>
  <c r="E26" i="5"/>
  <c r="D25" i="5"/>
  <c r="C25" i="5" s="1"/>
  <c r="I16" i="5"/>
  <c r="D24" i="5"/>
  <c r="C24" i="5"/>
  <c r="D23" i="5"/>
  <c r="C23" i="5" s="1"/>
  <c r="D22" i="5"/>
  <c r="C22" i="5"/>
  <c r="D21" i="5"/>
  <c r="C21" i="5" s="1"/>
  <c r="D20" i="5"/>
  <c r="C20" i="5" s="1"/>
  <c r="D19" i="5"/>
  <c r="C19" i="5" s="1"/>
  <c r="D18" i="5"/>
  <c r="C18" i="5" s="1"/>
  <c r="D17" i="5"/>
  <c r="C17" i="5" s="1"/>
  <c r="J16" i="5"/>
  <c r="H16" i="5"/>
  <c r="D16" i="5"/>
  <c r="C16" i="5" s="1"/>
  <c r="V15" i="5"/>
  <c r="D15" i="5"/>
  <c r="C15" i="5" s="1"/>
  <c r="Q7" i="5"/>
  <c r="O7" i="5"/>
  <c r="K7" i="5"/>
  <c r="E7" i="5"/>
  <c r="R6" i="5"/>
  <c r="P6" i="5"/>
  <c r="N6" i="5"/>
  <c r="L6" i="5"/>
  <c r="J6" i="5"/>
  <c r="H6" i="5"/>
  <c r="F6" i="5"/>
  <c r="X5" i="5"/>
  <c r="S6" i="5" s="1"/>
  <c r="T6" i="5" s="1"/>
  <c r="R5" i="5"/>
  <c r="O5" i="5"/>
  <c r="P5" i="5" s="1"/>
  <c r="L5" i="5"/>
  <c r="I5" i="5"/>
  <c r="J5" i="5" s="1"/>
  <c r="F5" i="5"/>
  <c r="X4" i="5"/>
  <c r="S4" i="5" s="1"/>
  <c r="T4" i="5" s="1"/>
  <c r="R4" i="5"/>
  <c r="P4" i="5"/>
  <c r="P7" i="5" s="1"/>
  <c r="P9" i="5" s="1"/>
  <c r="L4" i="5"/>
  <c r="L7" i="5" s="1"/>
  <c r="L9" i="5" s="1"/>
  <c r="I4" i="5"/>
  <c r="I7" i="5" s="1"/>
  <c r="F4" i="5"/>
  <c r="F7" i="5" s="1"/>
  <c r="F9" i="5" s="1"/>
  <c r="D4" i="5"/>
  <c r="E26" i="4"/>
  <c r="D25" i="4"/>
  <c r="C25" i="4" s="1"/>
  <c r="H16" i="4"/>
  <c r="D24" i="4"/>
  <c r="C24" i="4" s="1"/>
  <c r="D23" i="4"/>
  <c r="C23" i="4" s="1"/>
  <c r="D22" i="4"/>
  <c r="C22" i="4" s="1"/>
  <c r="D21" i="4"/>
  <c r="C21" i="4" s="1"/>
  <c r="D20" i="4"/>
  <c r="C20" i="4" s="1"/>
  <c r="D19" i="4"/>
  <c r="C19" i="4" s="1"/>
  <c r="D18" i="4"/>
  <c r="C18" i="4" s="1"/>
  <c r="K7" i="4"/>
  <c r="D17" i="4"/>
  <c r="C17" i="4" s="1"/>
  <c r="J16" i="4"/>
  <c r="I16" i="4"/>
  <c r="D16" i="4"/>
  <c r="C16" i="4" s="1"/>
  <c r="V15" i="4"/>
  <c r="D15" i="4"/>
  <c r="C15" i="4" s="1"/>
  <c r="Q7" i="4"/>
  <c r="I7" i="4"/>
  <c r="F7" i="4"/>
  <c r="F9" i="4" s="1"/>
  <c r="E7" i="4"/>
  <c r="T6" i="4"/>
  <c r="R6" i="4"/>
  <c r="P6" i="4"/>
  <c r="N6" i="4"/>
  <c r="L6" i="4"/>
  <c r="J6" i="4"/>
  <c r="H6" i="4"/>
  <c r="F6" i="4"/>
  <c r="D6" i="4"/>
  <c r="X5" i="4"/>
  <c r="S6" i="4" s="1"/>
  <c r="U6" i="4" s="1"/>
  <c r="R5" i="4"/>
  <c r="P5" i="4"/>
  <c r="O5" i="4"/>
  <c r="O7" i="4" s="1"/>
  <c r="L5" i="4"/>
  <c r="I5" i="4"/>
  <c r="J5" i="4" s="1"/>
  <c r="J7" i="4" s="1"/>
  <c r="J9" i="4" s="1"/>
  <c r="F5" i="4"/>
  <c r="D5" i="4"/>
  <c r="X4" i="4"/>
  <c r="S4" i="4"/>
  <c r="R4" i="4"/>
  <c r="R7" i="4" s="1"/>
  <c r="R9" i="4" s="1"/>
  <c r="P4" i="4"/>
  <c r="P7" i="4" s="1"/>
  <c r="P9" i="4" s="1"/>
  <c r="I4" i="4"/>
  <c r="F4" i="4"/>
  <c r="E26" i="3"/>
  <c r="D25" i="3"/>
  <c r="C25" i="3" s="1"/>
  <c r="I16" i="3"/>
  <c r="D24" i="3"/>
  <c r="C24" i="3"/>
  <c r="D23" i="3"/>
  <c r="C23" i="3" s="1"/>
  <c r="D22" i="3"/>
  <c r="C22" i="3"/>
  <c r="D21" i="3"/>
  <c r="C21" i="3"/>
  <c r="D20" i="3"/>
  <c r="C20" i="3" s="1"/>
  <c r="D19" i="3"/>
  <c r="C19" i="3" s="1"/>
  <c r="D18" i="3"/>
  <c r="C18" i="3" s="1"/>
  <c r="D17" i="3"/>
  <c r="C17" i="3" s="1"/>
  <c r="J16" i="3"/>
  <c r="H16" i="3"/>
  <c r="D16" i="3"/>
  <c r="C16" i="3"/>
  <c r="V15" i="3"/>
  <c r="D15" i="3"/>
  <c r="C15" i="3" s="1"/>
  <c r="Q7" i="3"/>
  <c r="K7" i="3"/>
  <c r="E7" i="3"/>
  <c r="R6" i="3"/>
  <c r="P6" i="3"/>
  <c r="N6" i="3"/>
  <c r="L6" i="3"/>
  <c r="J6" i="3"/>
  <c r="H6" i="3"/>
  <c r="F6" i="3"/>
  <c r="X5" i="3"/>
  <c r="S6" i="3" s="1"/>
  <c r="T6" i="3" s="1"/>
  <c r="R5" i="3"/>
  <c r="O5" i="3"/>
  <c r="P5" i="3" s="1"/>
  <c r="L5" i="3"/>
  <c r="I5" i="3"/>
  <c r="J5" i="3" s="1"/>
  <c r="J7" i="3" s="1"/>
  <c r="J9" i="3" s="1"/>
  <c r="F5" i="3"/>
  <c r="X4" i="3"/>
  <c r="S4" i="3"/>
  <c r="T4" i="3" s="1"/>
  <c r="R4" i="3"/>
  <c r="P4" i="3"/>
  <c r="P7" i="3" s="1"/>
  <c r="P9" i="3" s="1"/>
  <c r="L4" i="3"/>
  <c r="L7" i="3" s="1"/>
  <c r="L9" i="3" s="1"/>
  <c r="I4" i="3"/>
  <c r="F4" i="3"/>
  <c r="F7" i="3" s="1"/>
  <c r="F9" i="3" s="1"/>
  <c r="D4" i="3"/>
  <c r="E26" i="2"/>
  <c r="D25" i="2"/>
  <c r="C25" i="2" s="1"/>
  <c r="H16" i="2"/>
  <c r="D24" i="2"/>
  <c r="C24" i="2" s="1"/>
  <c r="D23" i="2"/>
  <c r="C23" i="2" s="1"/>
  <c r="D22" i="2"/>
  <c r="C22" i="2" s="1"/>
  <c r="D21" i="2"/>
  <c r="C21" i="2" s="1"/>
  <c r="D20" i="2"/>
  <c r="C20" i="2" s="1"/>
  <c r="D19" i="2"/>
  <c r="C19" i="2" s="1"/>
  <c r="D18" i="2"/>
  <c r="C18" i="2" s="1"/>
  <c r="D17" i="2"/>
  <c r="C17" i="2" s="1"/>
  <c r="J16" i="2"/>
  <c r="I16" i="2"/>
  <c r="D16" i="2"/>
  <c r="C16" i="2" s="1"/>
  <c r="V15" i="2"/>
  <c r="D15" i="2"/>
  <c r="C15" i="2" s="1"/>
  <c r="Q7" i="2"/>
  <c r="I7" i="2"/>
  <c r="E7" i="2"/>
  <c r="T6" i="2"/>
  <c r="R6" i="2"/>
  <c r="P6" i="2"/>
  <c r="N6" i="2"/>
  <c r="L6" i="2"/>
  <c r="J6" i="2"/>
  <c r="H6" i="2"/>
  <c r="F6" i="2"/>
  <c r="D6" i="2"/>
  <c r="X5" i="2"/>
  <c r="S6" i="2" s="1"/>
  <c r="R5" i="2"/>
  <c r="O5" i="2"/>
  <c r="O7" i="2" s="1"/>
  <c r="L5" i="2"/>
  <c r="J5" i="2"/>
  <c r="J7" i="2" s="1"/>
  <c r="J9" i="2" s="1"/>
  <c r="I5" i="2"/>
  <c r="F5" i="2"/>
  <c r="X4" i="2"/>
  <c r="S4" i="2" s="1"/>
  <c r="R4" i="2"/>
  <c r="R7" i="2" s="1"/>
  <c r="R9" i="2" s="1"/>
  <c r="P4" i="2"/>
  <c r="I4" i="2"/>
  <c r="F4" i="2"/>
  <c r="F7" i="2" s="1"/>
  <c r="F9" i="2" s="1"/>
  <c r="E26" i="1"/>
  <c r="D25" i="1"/>
  <c r="C25" i="1" s="1"/>
  <c r="D24" i="1"/>
  <c r="C24" i="1" s="1"/>
  <c r="D23" i="1"/>
  <c r="C23" i="1" s="1"/>
  <c r="D22" i="1"/>
  <c r="C22" i="1" s="1"/>
  <c r="D21" i="1"/>
  <c r="C21" i="1" s="1"/>
  <c r="D20" i="1"/>
  <c r="C20" i="1" s="1"/>
  <c r="D19" i="1"/>
  <c r="C19" i="1" s="1"/>
  <c r="D18" i="1"/>
  <c r="C18" i="1" s="1"/>
  <c r="D17" i="1"/>
  <c r="C17" i="1" s="1"/>
  <c r="H5" i="1"/>
  <c r="J16" i="1"/>
  <c r="I16" i="1"/>
  <c r="D5" i="1" s="1"/>
  <c r="H16" i="1"/>
  <c r="D16" i="1"/>
  <c r="C16" i="1" s="1"/>
  <c r="D15" i="1"/>
  <c r="C15" i="1" s="1"/>
  <c r="Q7" i="1"/>
  <c r="E7" i="1"/>
  <c r="R6" i="1"/>
  <c r="P6" i="1"/>
  <c r="N6" i="1"/>
  <c r="L6" i="1"/>
  <c r="J6" i="1"/>
  <c r="H6" i="1"/>
  <c r="F6" i="1"/>
  <c r="X5" i="1"/>
  <c r="S6" i="1" s="1"/>
  <c r="T6" i="1" s="1"/>
  <c r="R5" i="1"/>
  <c r="O5" i="1"/>
  <c r="O7" i="1" s="1"/>
  <c r="L5" i="1"/>
  <c r="J5" i="1"/>
  <c r="J7" i="1" s="1"/>
  <c r="J9" i="1" s="1"/>
  <c r="F5" i="1"/>
  <c r="X4" i="1"/>
  <c r="S4" i="1" s="1"/>
  <c r="R4" i="1"/>
  <c r="P4" i="1"/>
  <c r="K7" i="1"/>
  <c r="I4" i="1"/>
  <c r="I7" i="1" s="1"/>
  <c r="F4" i="1"/>
  <c r="F7" i="1" s="1"/>
  <c r="F9" i="1" s="1"/>
  <c r="R7" i="30" l="1"/>
  <c r="R9" i="30" s="1"/>
  <c r="R7" i="29"/>
  <c r="R9" i="29" s="1"/>
  <c r="R7" i="27"/>
  <c r="R9" i="27" s="1"/>
  <c r="R7" i="26"/>
  <c r="R9" i="26" s="1"/>
  <c r="R7" i="25"/>
  <c r="R9" i="25" s="1"/>
  <c r="R7" i="23"/>
  <c r="R9" i="23" s="1"/>
  <c r="R7" i="21"/>
  <c r="R9" i="21" s="1"/>
  <c r="R7" i="17"/>
  <c r="R9" i="17" s="1"/>
  <c r="R7" i="14"/>
  <c r="R9" i="14" s="1"/>
  <c r="R7" i="15"/>
  <c r="R9" i="15" s="1"/>
  <c r="R7" i="12"/>
  <c r="R9" i="12" s="1"/>
  <c r="X3" i="31"/>
  <c r="S5" i="31" s="1"/>
  <c r="T5" i="31" s="1"/>
  <c r="X3" i="29"/>
  <c r="S5" i="29" s="1"/>
  <c r="T5" i="29" s="1"/>
  <c r="T6" i="28"/>
  <c r="U6" i="28"/>
  <c r="T6" i="22"/>
  <c r="U6" i="22"/>
  <c r="X3" i="22"/>
  <c r="S5" i="22" s="1"/>
  <c r="T5" i="22" s="1"/>
  <c r="X3" i="21"/>
  <c r="S5" i="21" s="1"/>
  <c r="T5" i="21" s="1"/>
  <c r="T7" i="21" s="1"/>
  <c r="T9" i="21" s="1"/>
  <c r="T6" i="20"/>
  <c r="X3" i="13"/>
  <c r="S5" i="13" s="1"/>
  <c r="T5" i="13" s="1"/>
  <c r="C26" i="13"/>
  <c r="X3" i="11"/>
  <c r="S5" i="11" s="1"/>
  <c r="T5" i="11" s="1"/>
  <c r="T6" i="10"/>
  <c r="X3" i="10"/>
  <c r="S5" i="10" s="1"/>
  <c r="T5" i="10" s="1"/>
  <c r="C26" i="9"/>
  <c r="T6" i="8"/>
  <c r="C32" i="8"/>
  <c r="C26" i="7"/>
  <c r="X3" i="6"/>
  <c r="S5" i="6" s="1"/>
  <c r="T5" i="6" s="1"/>
  <c r="R7" i="3"/>
  <c r="R9" i="3" s="1"/>
  <c r="U4" i="17"/>
  <c r="U4" i="12"/>
  <c r="U4" i="10"/>
  <c r="G7" i="3"/>
  <c r="U4" i="31"/>
  <c r="U4" i="29"/>
  <c r="N7" i="28"/>
  <c r="N9" i="28" s="1"/>
  <c r="M7" i="28"/>
  <c r="U4" i="26"/>
  <c r="N7" i="25"/>
  <c r="N9" i="25" s="1"/>
  <c r="U4" i="23"/>
  <c r="U4" i="15"/>
  <c r="M7" i="11"/>
  <c r="M7" i="9"/>
  <c r="M7" i="5"/>
  <c r="M7" i="3"/>
  <c r="M7" i="2"/>
  <c r="R7" i="1"/>
  <c r="R9" i="1" s="1"/>
  <c r="G7" i="26"/>
  <c r="H7" i="23"/>
  <c r="H9" i="23" s="1"/>
  <c r="H7" i="3"/>
  <c r="H9" i="3" s="1"/>
  <c r="U6" i="1"/>
  <c r="D6" i="1"/>
  <c r="G7" i="1"/>
  <c r="H4" i="1"/>
  <c r="H7" i="1" s="1"/>
  <c r="H9" i="1" s="1"/>
  <c r="U4" i="1"/>
  <c r="B7" i="9"/>
  <c r="D5" i="9"/>
  <c r="B7" i="1"/>
  <c r="K7" i="2"/>
  <c r="L4" i="2"/>
  <c r="L7" i="2" s="1"/>
  <c r="L9" i="2" s="1"/>
  <c r="B7" i="2"/>
  <c r="U4" i="2"/>
  <c r="D4" i="2"/>
  <c r="U4" i="4"/>
  <c r="B7" i="4"/>
  <c r="D4" i="4"/>
  <c r="D7" i="4" s="1"/>
  <c r="D11" i="4" s="1"/>
  <c r="C32" i="3"/>
  <c r="X3" i="3"/>
  <c r="S5" i="3" s="1"/>
  <c r="U5" i="3" s="1"/>
  <c r="C26" i="3"/>
  <c r="C26" i="1"/>
  <c r="X3" i="1"/>
  <c r="S5" i="1" s="1"/>
  <c r="T5" i="1" s="1"/>
  <c r="B7" i="5"/>
  <c r="D5" i="5"/>
  <c r="X3" i="4"/>
  <c r="S5" i="4" s="1"/>
  <c r="T5" i="4" s="1"/>
  <c r="U6" i="3"/>
  <c r="D6" i="3"/>
  <c r="B7" i="3"/>
  <c r="D5" i="3"/>
  <c r="D7" i="3" s="1"/>
  <c r="D11" i="3" s="1"/>
  <c r="N7" i="4"/>
  <c r="N9" i="4" s="1"/>
  <c r="M7" i="4"/>
  <c r="N7" i="7"/>
  <c r="N9" i="7" s="1"/>
  <c r="C26" i="2"/>
  <c r="U6" i="5"/>
  <c r="D6" i="5"/>
  <c r="D7" i="5" s="1"/>
  <c r="D11" i="5" s="1"/>
  <c r="S7" i="8"/>
  <c r="T4" i="8"/>
  <c r="T7" i="8" s="1"/>
  <c r="T9" i="8" s="1"/>
  <c r="G7" i="15"/>
  <c r="C32" i="16"/>
  <c r="X3" i="16"/>
  <c r="S5" i="16" s="1"/>
  <c r="T5" i="16" s="1"/>
  <c r="C26" i="16"/>
  <c r="L4" i="18"/>
  <c r="L7" i="18" s="1"/>
  <c r="L9" i="18" s="1"/>
  <c r="K7" i="18"/>
  <c r="L4" i="1"/>
  <c r="L7" i="1" s="1"/>
  <c r="L9" i="1" s="1"/>
  <c r="P5" i="1"/>
  <c r="P7" i="1" s="1"/>
  <c r="P9" i="1" s="1"/>
  <c r="N7" i="2"/>
  <c r="N9" i="2" s="1"/>
  <c r="T4" i="2"/>
  <c r="D5" i="2"/>
  <c r="U6" i="2"/>
  <c r="H7" i="2"/>
  <c r="H9" i="2" s="1"/>
  <c r="N7" i="3"/>
  <c r="N9" i="3" s="1"/>
  <c r="H7" i="4"/>
  <c r="H9" i="4" s="1"/>
  <c r="R7" i="5"/>
  <c r="R9" i="5" s="1"/>
  <c r="J7" i="5"/>
  <c r="J9" i="5" s="1"/>
  <c r="T6" i="6"/>
  <c r="C26" i="6"/>
  <c r="C32" i="6"/>
  <c r="U4" i="7"/>
  <c r="U4" i="8"/>
  <c r="L4" i="8"/>
  <c r="L7" i="8" s="1"/>
  <c r="L9" i="8" s="1"/>
  <c r="R7" i="9"/>
  <c r="R9" i="9" s="1"/>
  <c r="U6" i="9"/>
  <c r="D6" i="9"/>
  <c r="K7" i="9"/>
  <c r="P7" i="10"/>
  <c r="P9" i="10" s="1"/>
  <c r="N7" i="11"/>
  <c r="N9" i="11" s="1"/>
  <c r="U4" i="11"/>
  <c r="J7" i="11"/>
  <c r="J9" i="11" s="1"/>
  <c r="U6" i="11"/>
  <c r="D6" i="11"/>
  <c r="D7" i="11" s="1"/>
  <c r="D11" i="11" s="1"/>
  <c r="C26" i="4"/>
  <c r="C32" i="7"/>
  <c r="X3" i="7"/>
  <c r="S5" i="7" s="1"/>
  <c r="N7" i="12"/>
  <c r="N9" i="12" s="1"/>
  <c r="I7" i="3"/>
  <c r="U4" i="3"/>
  <c r="O7" i="3"/>
  <c r="L4" i="4"/>
  <c r="L7" i="4" s="1"/>
  <c r="L9" i="4" s="1"/>
  <c r="T4" i="4"/>
  <c r="T7" i="4" s="1"/>
  <c r="T9" i="4" s="1"/>
  <c r="C32" i="5"/>
  <c r="X3" i="5"/>
  <c r="S5" i="5" s="1"/>
  <c r="T4" i="6"/>
  <c r="U6" i="7"/>
  <c r="D6" i="7"/>
  <c r="D7" i="7" s="1"/>
  <c r="D11" i="7" s="1"/>
  <c r="M7" i="7"/>
  <c r="P7" i="8"/>
  <c r="P9" i="8" s="1"/>
  <c r="J7" i="9"/>
  <c r="J9" i="9" s="1"/>
  <c r="G7" i="10"/>
  <c r="D7" i="9"/>
  <c r="D11" i="9" s="1"/>
  <c r="T7" i="11"/>
  <c r="T9" i="11" s="1"/>
  <c r="L4" i="14"/>
  <c r="L7" i="14" s="1"/>
  <c r="L9" i="14" s="1"/>
  <c r="K7" i="14"/>
  <c r="P7" i="2"/>
  <c r="P9" i="2" s="1"/>
  <c r="D4" i="1"/>
  <c r="T4" i="1"/>
  <c r="X3" i="2"/>
  <c r="S5" i="2" s="1"/>
  <c r="T5" i="2" s="1"/>
  <c r="G7" i="2"/>
  <c r="P5" i="2"/>
  <c r="G7" i="4"/>
  <c r="N7" i="5"/>
  <c r="N9" i="5" s="1"/>
  <c r="U4" i="5"/>
  <c r="C26" i="5"/>
  <c r="U4" i="6"/>
  <c r="G7" i="8"/>
  <c r="C26" i="8"/>
  <c r="N7" i="9"/>
  <c r="N9" i="9" s="1"/>
  <c r="C32" i="9"/>
  <c r="X3" i="9"/>
  <c r="S5" i="9" s="1"/>
  <c r="U4" i="9"/>
  <c r="T4" i="10"/>
  <c r="T7" i="10" s="1"/>
  <c r="T9" i="10" s="1"/>
  <c r="C26" i="10"/>
  <c r="I7" i="11"/>
  <c r="C32" i="10"/>
  <c r="L4" i="12"/>
  <c r="L7" i="12" s="1"/>
  <c r="L9" i="12" s="1"/>
  <c r="K7" i="12"/>
  <c r="T4" i="13"/>
  <c r="U4" i="14"/>
  <c r="H7" i="15"/>
  <c r="H9" i="15" s="1"/>
  <c r="C26" i="15"/>
  <c r="N7" i="16"/>
  <c r="N9" i="16" s="1"/>
  <c r="L4" i="16"/>
  <c r="L7" i="16" s="1"/>
  <c r="L9" i="16" s="1"/>
  <c r="K7" i="16"/>
  <c r="T4" i="18"/>
  <c r="U6" i="18"/>
  <c r="D6" i="18"/>
  <c r="T5" i="19"/>
  <c r="D4" i="6"/>
  <c r="D7" i="6" s="1"/>
  <c r="D11" i="6" s="1"/>
  <c r="B7" i="6"/>
  <c r="D4" i="8"/>
  <c r="D7" i="8" s="1"/>
  <c r="D11" i="8" s="1"/>
  <c r="B7" i="8"/>
  <c r="D4" i="10"/>
  <c r="D7" i="10" s="1"/>
  <c r="D11" i="10" s="1"/>
  <c r="B7" i="10"/>
  <c r="R7" i="11"/>
  <c r="R9" i="11" s="1"/>
  <c r="P5" i="11"/>
  <c r="P7" i="11" s="1"/>
  <c r="P9" i="11" s="1"/>
  <c r="G7" i="11"/>
  <c r="T4" i="12"/>
  <c r="X3" i="12"/>
  <c r="S5" i="12" s="1"/>
  <c r="T5" i="12" s="1"/>
  <c r="U4" i="13"/>
  <c r="N7" i="13"/>
  <c r="N9" i="13" s="1"/>
  <c r="M7" i="13"/>
  <c r="G7" i="13"/>
  <c r="T4" i="14"/>
  <c r="D7" i="15"/>
  <c r="D11" i="15" s="1"/>
  <c r="N7" i="15"/>
  <c r="N9" i="15" s="1"/>
  <c r="T4" i="16"/>
  <c r="U6" i="16"/>
  <c r="D6" i="16"/>
  <c r="S7" i="19"/>
  <c r="C26" i="11"/>
  <c r="U6" i="12"/>
  <c r="C32" i="14"/>
  <c r="X3" i="14"/>
  <c r="S5" i="14" s="1"/>
  <c r="T5" i="14" s="1"/>
  <c r="C26" i="14"/>
  <c r="P7" i="15"/>
  <c r="P9" i="15" s="1"/>
  <c r="U4" i="16"/>
  <c r="C26" i="17"/>
  <c r="C32" i="18"/>
  <c r="C26" i="18"/>
  <c r="X3" i="18"/>
  <c r="S5" i="18" s="1"/>
  <c r="T5" i="18" s="1"/>
  <c r="U4" i="18"/>
  <c r="B7" i="12"/>
  <c r="C26" i="12"/>
  <c r="D4" i="14"/>
  <c r="D5" i="14"/>
  <c r="B7" i="14"/>
  <c r="X3" i="15"/>
  <c r="S5" i="15" s="1"/>
  <c r="T5" i="15" s="1"/>
  <c r="T7" i="15" s="1"/>
  <c r="T9" i="15" s="1"/>
  <c r="D4" i="16"/>
  <c r="X3" i="17"/>
  <c r="S5" i="17" s="1"/>
  <c r="D4" i="18"/>
  <c r="D7" i="18" s="1"/>
  <c r="D11" i="18" s="1"/>
  <c r="D4" i="19"/>
  <c r="D7" i="19" s="1"/>
  <c r="D11" i="19" s="1"/>
  <c r="I7" i="19"/>
  <c r="P7" i="19"/>
  <c r="P9" i="19" s="1"/>
  <c r="U6" i="19"/>
  <c r="N7" i="21"/>
  <c r="N9" i="21" s="1"/>
  <c r="M7" i="22"/>
  <c r="N7" i="22"/>
  <c r="N9" i="22" s="1"/>
  <c r="C32" i="11"/>
  <c r="D6" i="12"/>
  <c r="D7" i="12" s="1"/>
  <c r="D11" i="12" s="1"/>
  <c r="U6" i="13"/>
  <c r="C32" i="13"/>
  <c r="U6" i="15"/>
  <c r="C32" i="15"/>
  <c r="U6" i="17"/>
  <c r="C32" i="17"/>
  <c r="U4" i="20"/>
  <c r="C26" i="21"/>
  <c r="P7" i="22"/>
  <c r="P9" i="22" s="1"/>
  <c r="D4" i="13"/>
  <c r="D7" i="13" s="1"/>
  <c r="D11" i="13" s="1"/>
  <c r="B7" i="13"/>
  <c r="B7" i="15"/>
  <c r="B7" i="17"/>
  <c r="C26" i="19"/>
  <c r="X3" i="20"/>
  <c r="S5" i="20" s="1"/>
  <c r="T5" i="20" s="1"/>
  <c r="C26" i="20"/>
  <c r="C32" i="20"/>
  <c r="U4" i="19"/>
  <c r="N7" i="19"/>
  <c r="N9" i="19" s="1"/>
  <c r="T4" i="19"/>
  <c r="T4" i="20"/>
  <c r="T7" i="20" s="1"/>
  <c r="T9" i="20" s="1"/>
  <c r="M7" i="20"/>
  <c r="N7" i="20"/>
  <c r="N9" i="20" s="1"/>
  <c r="B7" i="20"/>
  <c r="D5" i="20"/>
  <c r="D7" i="20" s="1"/>
  <c r="D11" i="20" s="1"/>
  <c r="L4" i="20"/>
  <c r="L7" i="20" s="1"/>
  <c r="L9" i="20" s="1"/>
  <c r="K7" i="20"/>
  <c r="M7" i="21"/>
  <c r="S7" i="21"/>
  <c r="K7" i="21"/>
  <c r="L4" i="21"/>
  <c r="L7" i="21" s="1"/>
  <c r="L9" i="21" s="1"/>
  <c r="T4" i="22"/>
  <c r="T7" i="22" s="1"/>
  <c r="T9" i="22" s="1"/>
  <c r="B7" i="22"/>
  <c r="U4" i="22"/>
  <c r="D4" i="22"/>
  <c r="D7" i="22" s="1"/>
  <c r="D11" i="22" s="1"/>
  <c r="U4" i="21"/>
  <c r="D6" i="21"/>
  <c r="D7" i="21" s="1"/>
  <c r="D11" i="21" s="1"/>
  <c r="P5" i="22"/>
  <c r="F7" i="23"/>
  <c r="F9" i="23" s="1"/>
  <c r="N7" i="23"/>
  <c r="N9" i="23" s="1"/>
  <c r="M7" i="23"/>
  <c r="U4" i="24"/>
  <c r="B7" i="24"/>
  <c r="D4" i="24"/>
  <c r="T4" i="24"/>
  <c r="X3" i="24"/>
  <c r="S5" i="24" s="1"/>
  <c r="T5" i="24" s="1"/>
  <c r="C26" i="24"/>
  <c r="C32" i="24"/>
  <c r="D6" i="24"/>
  <c r="U6" i="24"/>
  <c r="U4" i="25"/>
  <c r="P7" i="26"/>
  <c r="P9" i="26" s="1"/>
  <c r="X3" i="26"/>
  <c r="S5" i="26" s="1"/>
  <c r="T5" i="26" s="1"/>
  <c r="C26" i="26"/>
  <c r="C32" i="26"/>
  <c r="D6" i="26"/>
  <c r="U6" i="26"/>
  <c r="D4" i="27"/>
  <c r="D7" i="27" s="1"/>
  <c r="D11" i="27" s="1"/>
  <c r="B7" i="27"/>
  <c r="U4" i="27"/>
  <c r="L4" i="28"/>
  <c r="L7" i="28" s="1"/>
  <c r="L9" i="28" s="1"/>
  <c r="K7" i="28"/>
  <c r="U4" i="28"/>
  <c r="C26" i="22"/>
  <c r="O7" i="23"/>
  <c r="P5" i="23"/>
  <c r="P7" i="23" s="1"/>
  <c r="P9" i="23" s="1"/>
  <c r="M7" i="24"/>
  <c r="N7" i="24"/>
  <c r="N9" i="24" s="1"/>
  <c r="L4" i="24"/>
  <c r="L7" i="24" s="1"/>
  <c r="L9" i="24" s="1"/>
  <c r="K7" i="24"/>
  <c r="C26" i="25"/>
  <c r="X3" i="25"/>
  <c r="S5" i="25" s="1"/>
  <c r="T5" i="25" s="1"/>
  <c r="U6" i="25"/>
  <c r="D6" i="25"/>
  <c r="L4" i="26"/>
  <c r="L7" i="26" s="1"/>
  <c r="L9" i="26" s="1"/>
  <c r="K7" i="26"/>
  <c r="N7" i="27"/>
  <c r="N9" i="27" s="1"/>
  <c r="M7" i="27"/>
  <c r="C32" i="21"/>
  <c r="C32" i="22"/>
  <c r="D5" i="23"/>
  <c r="G7" i="23"/>
  <c r="D5" i="24"/>
  <c r="L4" i="22"/>
  <c r="L7" i="22" s="1"/>
  <c r="L9" i="22" s="1"/>
  <c r="B7" i="23"/>
  <c r="D4" i="23"/>
  <c r="K7" i="23"/>
  <c r="L4" i="23"/>
  <c r="L7" i="23" s="1"/>
  <c r="L9" i="23" s="1"/>
  <c r="T4" i="23"/>
  <c r="C26" i="23"/>
  <c r="C32" i="23"/>
  <c r="X3" i="23"/>
  <c r="S5" i="23" s="1"/>
  <c r="T5" i="23" s="1"/>
  <c r="U6" i="23"/>
  <c r="H7" i="24"/>
  <c r="H9" i="24" s="1"/>
  <c r="P7" i="27"/>
  <c r="P9" i="27" s="1"/>
  <c r="C26" i="28"/>
  <c r="C32" i="28"/>
  <c r="X3" i="28"/>
  <c r="S5" i="28" s="1"/>
  <c r="T5" i="28" s="1"/>
  <c r="T7" i="28" s="1"/>
  <c r="T9" i="28" s="1"/>
  <c r="H7" i="28"/>
  <c r="H9" i="28" s="1"/>
  <c r="B7" i="30"/>
  <c r="D5" i="30"/>
  <c r="D7" i="30" s="1"/>
  <c r="D11" i="30" s="1"/>
  <c r="O7" i="24"/>
  <c r="L4" i="25"/>
  <c r="L7" i="25" s="1"/>
  <c r="L9" i="25" s="1"/>
  <c r="P5" i="25"/>
  <c r="P7" i="25" s="1"/>
  <c r="P9" i="25" s="1"/>
  <c r="D4" i="26"/>
  <c r="T4" i="26"/>
  <c r="T7" i="26" s="1"/>
  <c r="T9" i="26" s="1"/>
  <c r="D5" i="26"/>
  <c r="B7" i="26"/>
  <c r="O7" i="26"/>
  <c r="X3" i="27"/>
  <c r="S5" i="27" s="1"/>
  <c r="T5" i="27" s="1"/>
  <c r="L4" i="27"/>
  <c r="L7" i="27" s="1"/>
  <c r="L9" i="27" s="1"/>
  <c r="P5" i="27"/>
  <c r="F7" i="28"/>
  <c r="F9" i="28" s="1"/>
  <c r="P7" i="28"/>
  <c r="P9" i="28" s="1"/>
  <c r="N7" i="30"/>
  <c r="N9" i="30" s="1"/>
  <c r="H7" i="27"/>
  <c r="H9" i="27" s="1"/>
  <c r="C26" i="27"/>
  <c r="I7" i="28"/>
  <c r="P7" i="30"/>
  <c r="P9" i="30" s="1"/>
  <c r="U4" i="30"/>
  <c r="U6" i="31"/>
  <c r="D4" i="25"/>
  <c r="D7" i="25" s="1"/>
  <c r="D11" i="25" s="1"/>
  <c r="T4" i="25"/>
  <c r="T4" i="27"/>
  <c r="O7" i="28"/>
  <c r="T4" i="29"/>
  <c r="T7" i="29" s="1"/>
  <c r="T9" i="29" s="1"/>
  <c r="U6" i="29"/>
  <c r="T6" i="29"/>
  <c r="L4" i="29"/>
  <c r="L7" i="29" s="1"/>
  <c r="L9" i="29" s="1"/>
  <c r="K7" i="29"/>
  <c r="L4" i="31"/>
  <c r="L7" i="31" s="1"/>
  <c r="L9" i="31" s="1"/>
  <c r="K7" i="31"/>
  <c r="D4" i="29"/>
  <c r="D7" i="29" s="1"/>
  <c r="D11" i="29" s="1"/>
  <c r="B7" i="29"/>
  <c r="C26" i="29"/>
  <c r="X3" i="30"/>
  <c r="S5" i="30" s="1"/>
  <c r="D4" i="31"/>
  <c r="T4" i="31"/>
  <c r="D5" i="31"/>
  <c r="B7" i="31"/>
  <c r="C26" i="31"/>
  <c r="U6" i="30"/>
  <c r="C32" i="30"/>
  <c r="D6" i="31"/>
  <c r="T7" i="31" l="1"/>
  <c r="T9" i="31" s="1"/>
  <c r="S7" i="31"/>
  <c r="S7" i="29"/>
  <c r="S7" i="28"/>
  <c r="S7" i="26"/>
  <c r="T7" i="25"/>
  <c r="T9" i="25" s="1"/>
  <c r="D7" i="23"/>
  <c r="D11" i="23" s="1"/>
  <c r="S7" i="22"/>
  <c r="T7" i="19"/>
  <c r="T9" i="19" s="1"/>
  <c r="T7" i="18"/>
  <c r="T9" i="18" s="1"/>
  <c r="S7" i="16"/>
  <c r="T7" i="16"/>
  <c r="T9" i="16" s="1"/>
  <c r="S7" i="15"/>
  <c r="T7" i="14"/>
  <c r="T9" i="14" s="1"/>
  <c r="T7" i="13"/>
  <c r="T9" i="13" s="1"/>
  <c r="S7" i="13"/>
  <c r="S7" i="11"/>
  <c r="U7" i="11" s="1"/>
  <c r="S7" i="10"/>
  <c r="S7" i="6"/>
  <c r="S7" i="4"/>
  <c r="D7" i="1"/>
  <c r="D11" i="1" s="1"/>
  <c r="T7" i="1"/>
  <c r="T9" i="1" s="1"/>
  <c r="T7" i="24"/>
  <c r="T9" i="24" s="1"/>
  <c r="U5" i="24"/>
  <c r="G7" i="16"/>
  <c r="M7" i="30"/>
  <c r="M7" i="26"/>
  <c r="N7" i="26"/>
  <c r="N9" i="26" s="1"/>
  <c r="M7" i="25"/>
  <c r="M7" i="17"/>
  <c r="N7" i="17"/>
  <c r="N9" i="17" s="1"/>
  <c r="M7" i="15"/>
  <c r="U5" i="30"/>
  <c r="H7" i="26"/>
  <c r="H9" i="26" s="1"/>
  <c r="G7" i="20"/>
  <c r="G7" i="18"/>
  <c r="H7" i="17"/>
  <c r="H9" i="17" s="1"/>
  <c r="G7" i="17"/>
  <c r="H7" i="14"/>
  <c r="H9" i="14" s="1"/>
  <c r="U7" i="13"/>
  <c r="G7" i="6"/>
  <c r="U5" i="5"/>
  <c r="H7" i="29"/>
  <c r="H9" i="29" s="1"/>
  <c r="U5" i="29"/>
  <c r="S7" i="23"/>
  <c r="U7" i="23" s="1"/>
  <c r="U5" i="14"/>
  <c r="N7" i="6"/>
  <c r="N9" i="6" s="1"/>
  <c r="M7" i="6"/>
  <c r="N7" i="29"/>
  <c r="N9" i="29" s="1"/>
  <c r="G7" i="31"/>
  <c r="G7" i="28"/>
  <c r="U7" i="28" s="1"/>
  <c r="U5" i="27"/>
  <c r="S7" i="24"/>
  <c r="U7" i="24" s="1"/>
  <c r="M7" i="19"/>
  <c r="H7" i="11"/>
  <c r="H9" i="11" s="1"/>
  <c r="U5" i="11"/>
  <c r="T5" i="17"/>
  <c r="T7" i="17" s="1"/>
  <c r="T9" i="17" s="1"/>
  <c r="S7" i="17"/>
  <c r="S7" i="14"/>
  <c r="T7" i="12"/>
  <c r="T9" i="12" s="1"/>
  <c r="S7" i="18"/>
  <c r="M7" i="16"/>
  <c r="U7" i="16" s="1"/>
  <c r="H7" i="10"/>
  <c r="H9" i="10" s="1"/>
  <c r="U5" i="10"/>
  <c r="T5" i="9"/>
  <c r="T7" i="9" s="1"/>
  <c r="T9" i="9" s="1"/>
  <c r="S7" i="9"/>
  <c r="H7" i="8"/>
  <c r="H9" i="8" s="1"/>
  <c r="U5" i="8"/>
  <c r="G7" i="12"/>
  <c r="T5" i="5"/>
  <c r="T7" i="5" s="1"/>
  <c r="T9" i="5" s="1"/>
  <c r="S7" i="5"/>
  <c r="M7" i="12"/>
  <c r="U5" i="17"/>
  <c r="M7" i="14"/>
  <c r="S7" i="1"/>
  <c r="U5" i="2"/>
  <c r="T5" i="30"/>
  <c r="T7" i="30" s="1"/>
  <c r="T9" i="30" s="1"/>
  <c r="S7" i="30"/>
  <c r="U5" i="31"/>
  <c r="H7" i="16"/>
  <c r="H9" i="16" s="1"/>
  <c r="U5" i="16"/>
  <c r="H7" i="9"/>
  <c r="H9" i="9" s="1"/>
  <c r="G7" i="9"/>
  <c r="N7" i="14"/>
  <c r="N9" i="14" s="1"/>
  <c r="N7" i="31"/>
  <c r="N9" i="31" s="1"/>
  <c r="D7" i="31"/>
  <c r="D11" i="31" s="1"/>
  <c r="G7" i="29"/>
  <c r="U5" i="28"/>
  <c r="T7" i="27"/>
  <c r="T9" i="27" s="1"/>
  <c r="M7" i="31"/>
  <c r="M7" i="29"/>
  <c r="S7" i="27"/>
  <c r="U7" i="27" s="1"/>
  <c r="H7" i="31"/>
  <c r="H9" i="31" s="1"/>
  <c r="U7" i="26"/>
  <c r="D7" i="26"/>
  <c r="D11" i="26" s="1"/>
  <c r="U5" i="23"/>
  <c r="U5" i="26"/>
  <c r="D7" i="24"/>
  <c r="D11" i="24" s="1"/>
  <c r="S7" i="20"/>
  <c r="D7" i="16"/>
  <c r="D11" i="16" s="1"/>
  <c r="D7" i="14"/>
  <c r="D11" i="14" s="1"/>
  <c r="U5" i="12"/>
  <c r="S7" i="12"/>
  <c r="H7" i="12"/>
  <c r="H9" i="12" s="1"/>
  <c r="H7" i="6"/>
  <c r="H9" i="6" s="1"/>
  <c r="U5" i="6"/>
  <c r="T5" i="7"/>
  <c r="T7" i="7" s="1"/>
  <c r="T9" i="7" s="1"/>
  <c r="S7" i="7"/>
  <c r="T7" i="2"/>
  <c r="T9" i="2" s="1"/>
  <c r="N7" i="18"/>
  <c r="N9" i="18" s="1"/>
  <c r="D7" i="2"/>
  <c r="D11" i="2" s="1"/>
  <c r="U5" i="9"/>
  <c r="T7" i="23"/>
  <c r="T9" i="23" s="1"/>
  <c r="S7" i="25"/>
  <c r="H7" i="18"/>
  <c r="H9" i="18" s="1"/>
  <c r="U5" i="18"/>
  <c r="U7" i="15"/>
  <c r="U5" i="13"/>
  <c r="H7" i="13"/>
  <c r="H9" i="13" s="1"/>
  <c r="N7" i="10"/>
  <c r="N9" i="10" s="1"/>
  <c r="M7" i="10"/>
  <c r="U7" i="10" s="1"/>
  <c r="N7" i="8"/>
  <c r="N9" i="8" s="1"/>
  <c r="M7" i="8"/>
  <c r="U7" i="8" s="1"/>
  <c r="T7" i="6"/>
  <c r="T9" i="6" s="1"/>
  <c r="U5" i="4"/>
  <c r="M7" i="18"/>
  <c r="U5" i="15"/>
  <c r="S7" i="2"/>
  <c r="U7" i="2" s="1"/>
  <c r="T5" i="3"/>
  <c r="T7" i="3" s="1"/>
  <c r="T9" i="3" s="1"/>
  <c r="S7" i="3"/>
  <c r="U7" i="3" s="1"/>
  <c r="U7" i="4"/>
  <c r="U7" i="20" l="1"/>
  <c r="U7" i="9"/>
  <c r="U7" i="12"/>
  <c r="U7" i="6"/>
  <c r="U7" i="17"/>
  <c r="G7" i="14"/>
  <c r="U7" i="14" s="1"/>
  <c r="U7" i="31"/>
  <c r="U7" i="29"/>
  <c r="U7" i="18"/>
  <c r="H7" i="30"/>
  <c r="H9" i="30" s="1"/>
  <c r="G7" i="30"/>
  <c r="U7" i="30" s="1"/>
  <c r="H7" i="25"/>
  <c r="H9" i="25" s="1"/>
  <c r="U5" i="25"/>
  <c r="G7" i="25"/>
  <c r="U7" i="25" s="1"/>
  <c r="H7" i="22"/>
  <c r="H9" i="22" s="1"/>
  <c r="G7" i="22"/>
  <c r="U7" i="22" s="1"/>
  <c r="U5" i="22"/>
  <c r="H7" i="21"/>
  <c r="H9" i="21" s="1"/>
  <c r="U5" i="21"/>
  <c r="G7" i="21"/>
  <c r="U7" i="21" s="1"/>
  <c r="U5" i="20"/>
  <c r="H7" i="20"/>
  <c r="H9" i="20" s="1"/>
  <c r="H7" i="19"/>
  <c r="H9" i="19" s="1"/>
  <c r="G7" i="19"/>
  <c r="U7" i="19" s="1"/>
  <c r="U5" i="19"/>
  <c r="G7" i="7"/>
  <c r="U7" i="7" s="1"/>
  <c r="H7" i="7"/>
  <c r="H9" i="7" s="1"/>
  <c r="U5" i="7"/>
  <c r="H7" i="5"/>
  <c r="H9" i="5" s="1"/>
  <c r="G7" i="5"/>
  <c r="U7" i="5" s="1"/>
  <c r="U5" i="1"/>
  <c r="N7" i="1"/>
  <c r="N9" i="1" s="1"/>
  <c r="M7" i="1"/>
  <c r="U7" i="1" s="1"/>
</calcChain>
</file>

<file path=xl/sharedStrings.xml><?xml version="1.0" encoding="utf-8"?>
<sst xmlns="http://schemas.openxmlformats.org/spreadsheetml/2006/main" count="1977" uniqueCount="43">
  <si>
    <t>Particular</t>
  </si>
  <si>
    <t>Qty</t>
  </si>
  <si>
    <t>Rate</t>
  </si>
  <si>
    <t>Amount</t>
  </si>
  <si>
    <t>Pos SBI</t>
  </si>
  <si>
    <t>Paytm</t>
  </si>
  <si>
    <t>HP Card</t>
  </si>
  <si>
    <t>ICICI</t>
  </si>
  <si>
    <t>phone pe</t>
  </si>
  <si>
    <t>mobiquick</t>
  </si>
  <si>
    <t xml:space="preserve">CASH </t>
  </si>
  <si>
    <t>Credit</t>
  </si>
  <si>
    <t>Qty Diffrence</t>
  </si>
  <si>
    <t>diesal</t>
  </si>
  <si>
    <t>Petrol</t>
  </si>
  <si>
    <t>petrol</t>
  </si>
  <si>
    <t>Diesal</t>
  </si>
  <si>
    <t>Petrol Power</t>
  </si>
  <si>
    <t>Actual Amount</t>
  </si>
  <si>
    <t/>
  </si>
  <si>
    <t>Diffrence should be zero</t>
  </si>
  <si>
    <t>sales value diff</t>
  </si>
  <si>
    <t>Power</t>
  </si>
  <si>
    <t>CREDIT DETAIL</t>
  </si>
  <si>
    <t>particular</t>
  </si>
  <si>
    <t xml:space="preserve">Type </t>
  </si>
  <si>
    <t>QTY</t>
  </si>
  <si>
    <t>RATE</t>
  </si>
  <si>
    <t>AMOUNT</t>
  </si>
  <si>
    <t>inv no</t>
  </si>
  <si>
    <t>mool Chand yadav</t>
  </si>
  <si>
    <t>Moolchand Mali</t>
  </si>
  <si>
    <t>gdfg</t>
  </si>
  <si>
    <t>Piploda</t>
  </si>
  <si>
    <t>arjun</t>
  </si>
  <si>
    <t>Shyam Tran.</t>
  </si>
  <si>
    <t>dinesh</t>
  </si>
  <si>
    <t>mk Soler</t>
  </si>
  <si>
    <t>monu</t>
  </si>
  <si>
    <t>sayar School</t>
  </si>
  <si>
    <t>vandana School</t>
  </si>
  <si>
    <t>indra devi</t>
  </si>
  <si>
    <t>kedia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</si>
</sst>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_ "/>
    <numFmt numFmtId="165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name val="Times New Roman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229926450392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/>
  </cellStyleXfs>
  <cellXfs count="81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2" fontId="3" fillId="2" borderId="4" xfId="0" applyNumberFormat="1" applyFont="1" applyFill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0" fillId="0" borderId="8" xfId="0" applyBorder="1"/>
    <xf numFmtId="2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2" fontId="4" fillId="0" borderId="5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11" xfId="0" applyNumberFormat="1" applyFont="1" applyBorder="1" applyAlignment="1">
      <alignment vertical="center"/>
    </xf>
    <xf numFmtId="2" fontId="5" fillId="2" borderId="12" xfId="0" applyNumberFormat="1" applyFont="1" applyFill="1" applyBorder="1" applyAlignment="1">
      <alignment vertical="center"/>
    </xf>
    <xf numFmtId="2" fontId="5" fillId="0" borderId="13" xfId="0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2" fontId="0" fillId="0" borderId="15" xfId="0" applyNumberFormat="1" applyBorder="1" applyAlignment="1">
      <alignment vertical="center"/>
    </xf>
    <xf numFmtId="0" fontId="0" fillId="0" borderId="16" xfId="0" applyBorder="1" applyAlignment="1">
      <alignment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/>
    <xf numFmtId="2" fontId="7" fillId="0" borderId="0" xfId="0" applyNumberFormat="1" applyFont="1"/>
    <xf numFmtId="2" fontId="0" fillId="0" borderId="0" xfId="0" applyNumberFormat="1"/>
    <xf numFmtId="0" fontId="8" fillId="0" borderId="2" xfId="0" applyFont="1" applyBorder="1"/>
    <xf numFmtId="0" fontId="0" fillId="0" borderId="2" xfId="0" applyBorder="1"/>
    <xf numFmtId="0" fontId="5" fillId="0" borderId="2" xfId="0" applyFont="1" applyBorder="1"/>
    <xf numFmtId="2" fontId="8" fillId="0" borderId="2" xfId="0" applyNumberFormat="1" applyFont="1" applyBorder="1"/>
    <xf numFmtId="0" fontId="1" fillId="0" borderId="2" xfId="0" applyFont="1" applyBorder="1"/>
    <xf numFmtId="0" fontId="6" fillId="0" borderId="2" xfId="0" applyFont="1" applyBorder="1"/>
    <xf numFmtId="3" fontId="0" fillId="0" borderId="2" xfId="0" applyNumberFormat="1" applyBorder="1"/>
    <xf numFmtId="2" fontId="0" fillId="0" borderId="2" xfId="0" applyNumberFormat="1" applyBorder="1"/>
    <xf numFmtId="0" fontId="8" fillId="0" borderId="0" xfId="0" applyFont="1"/>
    <xf numFmtId="2" fontId="3" fillId="0" borderId="4" xfId="0" applyNumberFormat="1" applyFont="1" applyBorder="1" applyAlignment="1">
      <alignment horizontal="center" vertical="center"/>
    </xf>
    <xf numFmtId="3" fontId="0" fillId="0" borderId="2" xfId="0" quotePrefix="1" applyNumberForma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8" fillId="0" borderId="2" xfId="1" applyFont="1" applyBorder="1"/>
    <xf numFmtId="165" fontId="0" fillId="0" borderId="2" xfId="0" applyNumberFormat="1" applyBorder="1"/>
    <xf numFmtId="164" fontId="8" fillId="0" borderId="2" xfId="0" applyNumberFormat="1" applyFont="1" applyBorder="1"/>
    <xf numFmtId="0" fontId="2" fillId="0" borderId="2" xfId="0" applyFont="1" applyBorder="1" applyAlignment="1">
      <alignment horizontal="center" vertical="center" wrapText="1"/>
    </xf>
    <xf numFmtId="0" fontId="0" fillId="0" borderId="7" xfId="0" applyBorder="1"/>
    <xf numFmtId="0" fontId="2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15" xfId="0" applyBorder="1"/>
    <xf numFmtId="0" fontId="2" fillId="0" borderId="3" xfId="0" applyFont="1" applyBorder="1" applyAlignment="1">
      <alignment horizontal="center" vertical="center"/>
    </xf>
    <xf numFmtId="0" fontId="0" fillId="0" borderId="19" xfId="0" applyBorder="1"/>
    <xf numFmtId="0" fontId="4" fillId="0" borderId="9" xfId="0" applyFont="1" applyBorder="1" applyAlignment="1">
      <alignment horizontal="center" vertical="center"/>
    </xf>
    <xf numFmtId="0" fontId="0" fillId="0" borderId="10" xfId="0" applyBorder="1"/>
    <xf numFmtId="0" fontId="2" fillId="0" borderId="18" xfId="0" applyFont="1" applyBorder="1" applyAlignment="1">
      <alignment horizontal="center" vertical="center"/>
    </xf>
    <xf numFmtId="0" fontId="0" fillId="0" borderId="6" xfId="0" applyBorder="1"/>
    <xf numFmtId="0" fontId="2" fillId="0" borderId="4" xfId="0" applyFont="1" applyBorder="1" applyAlignment="1">
      <alignment horizontal="center" vertical="center"/>
    </xf>
    <xf numFmtId="0" fontId="0" fillId="0" borderId="17" xfId="0" applyBorder="1"/>
    <xf numFmtId="0" fontId="5" fillId="0" borderId="2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2" fontId="0" fillId="0" borderId="3" xfId="0" applyNumberFormat="1" applyBorder="1"/>
    <xf numFmtId="165" fontId="0" fillId="0" borderId="3" xfId="0" applyNumberFormat="1" applyBorder="1"/>
    <xf numFmtId="0" fontId="0" fillId="0" borderId="0" xfId="0" applyBorder="1"/>
    <xf numFmtId="0" fontId="6" fillId="0" borderId="0" xfId="0" applyFont="1" applyBorder="1" applyAlignment="1">
      <alignment horizontal="center"/>
    </xf>
    <xf numFmtId="2" fontId="0" fillId="0" borderId="0" xfId="0" applyNumberFormat="1" applyBorder="1"/>
    <xf numFmtId="2" fontId="0" fillId="2" borderId="0" xfId="0" applyNumberFormat="1" applyFill="1" applyBorder="1"/>
    <xf numFmtId="0" fontId="0" fillId="2" borderId="0" xfId="0" applyFill="1" applyBorder="1"/>
    <xf numFmtId="0" fontId="0" fillId="0" borderId="0" xfId="0" applyFill="1"/>
    <xf numFmtId="0" fontId="0" fillId="0" borderId="0" xfId="0" applyFill="1" applyBorder="1"/>
    <xf numFmtId="2" fontId="0" fillId="0" borderId="0" xfId="0" applyNumberFormat="1" applyFill="1" applyBorder="1"/>
    <xf numFmtId="0" fontId="8" fillId="0" borderId="0" xfId="0" applyFont="1" applyFill="1"/>
    <xf numFmtId="2" fontId="0" fillId="0" borderId="0" xfId="0" applyNumberFormat="1" applyFill="1"/>
    <xf numFmtId="0" fontId="8" fillId="0" borderId="3" xfId="0" applyFont="1" applyBorder="1"/>
    <xf numFmtId="0" fontId="6" fillId="0" borderId="0" xfId="0" applyFont="1" applyFill="1" applyBorder="1" applyAlignment="1">
      <alignment horizontal="center"/>
    </xf>
    <xf numFmtId="2" fontId="3" fillId="0" borderId="20" xfId="0" applyNumberFormat="1" applyFont="1" applyBorder="1" applyAlignment="1">
      <alignment vertical="center"/>
    </xf>
    <xf numFmtId="0" fontId="6" fillId="0" borderId="17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2" fontId="0" fillId="0" borderId="17" xfId="0" applyNumberFormat="1" applyFill="1" applyBorder="1"/>
    <xf numFmtId="0" fontId="0" fillId="0" borderId="2" xfId="0" applyFill="1" applyBorder="1"/>
    <xf numFmtId="2" fontId="0" fillId="0" borderId="2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opLeftCell="G1" workbookViewId="0"/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174.6837379447955</v>
      </c>
    </row>
    <row r="4" spans="1:24" s="2" customFormat="1">
      <c r="A4" s="3" t="s">
        <v>14</v>
      </c>
      <c r="B4" s="12">
        <f>+(H13+H14+H15)/$C$4</f>
        <v>1615.8246585808424</v>
      </c>
      <c r="C4" s="4">
        <v>104.71</v>
      </c>
      <c r="D4" s="5">
        <f>B4*C4</f>
        <v>169193</v>
      </c>
      <c r="E4" s="6">
        <v>0</v>
      </c>
      <c r="F4" s="7">
        <f>+E4*C4</f>
        <v>0</v>
      </c>
      <c r="G4" s="9">
        <f>+(H8*60%)/$C$4</f>
        <v>309.96254416961131</v>
      </c>
      <c r="H4" s="7">
        <f>+G4*C4</f>
        <v>32456.177999999996</v>
      </c>
      <c r="I4" s="6">
        <f>J4/C4</f>
        <v>0</v>
      </c>
      <c r="J4" s="7">
        <v>0</v>
      </c>
      <c r="K4" s="8">
        <f>+L8/$C$4</f>
        <v>80.814248877853117</v>
      </c>
      <c r="L4" s="7">
        <f>+K4*C4</f>
        <v>8462.06</v>
      </c>
      <c r="M4" s="9">
        <f>+(N8*60%)/$C$4</f>
        <v>495.33750358131982</v>
      </c>
      <c r="N4" s="7">
        <f>+M4*C4</f>
        <v>51866.789999999994</v>
      </c>
      <c r="O4" s="9"/>
      <c r="P4" s="7">
        <f>+O4*C4</f>
        <v>0</v>
      </c>
      <c r="Q4" s="6">
        <v>729.71036195205829</v>
      </c>
      <c r="R4" s="7">
        <f>+Q4*C4</f>
        <v>76407.972000000023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1330.717215386321</v>
      </c>
      <c r="C5" s="4">
        <v>90.21</v>
      </c>
      <c r="D5" s="5">
        <f>B5*C5</f>
        <v>120044</v>
      </c>
      <c r="E5" s="6">
        <v>0</v>
      </c>
      <c r="F5" s="7">
        <f>+E5*C5</f>
        <v>0</v>
      </c>
      <c r="G5" s="6">
        <f>+(H8*40%)/$C$5</f>
        <v>239.85646824077156</v>
      </c>
      <c r="H5" s="7">
        <f>+G5*C5</f>
        <v>21637.452000000001</v>
      </c>
      <c r="I5" s="6">
        <f>+J8/C5</f>
        <v>7.75967187673207</v>
      </c>
      <c r="J5" s="7">
        <f>+I5*C5</f>
        <v>700</v>
      </c>
      <c r="K5" s="6">
        <v>0</v>
      </c>
      <c r="L5" s="7">
        <f>+K5*C5</f>
        <v>0</v>
      </c>
      <c r="M5" s="6">
        <f>+(N8*40%)/$C$5</f>
        <v>383.30406828511252</v>
      </c>
      <c r="N5" s="7">
        <f>+M5*C5</f>
        <v>34577.86</v>
      </c>
      <c r="O5" s="9">
        <f>+P8/C5</f>
        <v>0</v>
      </c>
      <c r="P5" s="7">
        <f>+O5*C5</f>
        <v>0</v>
      </c>
      <c r="Q5" s="6">
        <v>525.11326903890927</v>
      </c>
      <c r="R5" s="7">
        <f>+Q5*C5</f>
        <v>47370.468000000001</v>
      </c>
      <c r="S5" s="10">
        <f>+X3</f>
        <v>174.6837379447955</v>
      </c>
      <c r="T5" s="7">
        <f>+S5*C5</f>
        <v>15758.220000000001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51.312056737588655</v>
      </c>
      <c r="C6" s="4">
        <v>112.8</v>
      </c>
      <c r="D6" s="5">
        <f>B6*C6</f>
        <v>5788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51.312056737588655</v>
      </c>
      <c r="R6" s="7">
        <f>+Q6*C6</f>
        <v>5788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2997.8539307047517</v>
      </c>
      <c r="C7" s="3"/>
      <c r="D7" s="13">
        <f t="shared" ref="D7:T7" si="0">SUM(D4:D6)</f>
        <v>295025</v>
      </c>
      <c r="E7" s="14">
        <f t="shared" si="0"/>
        <v>0</v>
      </c>
      <c r="F7" s="15">
        <f t="shared" si="0"/>
        <v>0</v>
      </c>
      <c r="G7" s="14">
        <f t="shared" si="0"/>
        <v>549.81901241038281</v>
      </c>
      <c r="H7" s="15">
        <f t="shared" si="0"/>
        <v>54093.63</v>
      </c>
      <c r="I7" s="14">
        <f t="shared" si="0"/>
        <v>7.75967187673207</v>
      </c>
      <c r="J7" s="15">
        <f t="shared" si="0"/>
        <v>700</v>
      </c>
      <c r="K7" s="14">
        <f t="shared" si="0"/>
        <v>80.814248877853117</v>
      </c>
      <c r="L7" s="15">
        <f t="shared" si="0"/>
        <v>8462.06</v>
      </c>
      <c r="M7" s="14">
        <f t="shared" si="0"/>
        <v>878.64157186643229</v>
      </c>
      <c r="N7" s="15">
        <f t="shared" si="0"/>
        <v>86444.65</v>
      </c>
      <c r="O7" s="14">
        <f t="shared" si="0"/>
        <v>0</v>
      </c>
      <c r="P7" s="15">
        <f t="shared" si="0"/>
        <v>0</v>
      </c>
      <c r="Q7" s="14">
        <f t="shared" si="0"/>
        <v>1306.1356877285561</v>
      </c>
      <c r="R7" s="15">
        <f t="shared" si="0"/>
        <v>129566.44000000003</v>
      </c>
      <c r="S7" s="14">
        <f t="shared" si="0"/>
        <v>174.6837379447955</v>
      </c>
      <c r="T7" s="15">
        <f t="shared" si="0"/>
        <v>15758.220000000001</v>
      </c>
      <c r="U7" s="11">
        <f>+B7-E7-G7-Q7-S7-K7-I7-M7-O7</f>
        <v>1.1368683772161603E-13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54093.63</v>
      </c>
      <c r="I8" s="18"/>
      <c r="J8" s="19">
        <v>700</v>
      </c>
      <c r="K8" s="18"/>
      <c r="L8" s="19">
        <v>8462.06</v>
      </c>
      <c r="M8" s="20"/>
      <c r="N8" s="19">
        <v>86444.65</v>
      </c>
      <c r="O8" s="20" t="s">
        <v>19</v>
      </c>
      <c r="P8" s="19">
        <v>0</v>
      </c>
      <c r="Q8" s="18">
        <v>0</v>
      </c>
      <c r="R8" s="19">
        <v>123566</v>
      </c>
      <c r="S8" s="18"/>
      <c r="T8" s="19">
        <v>21758.21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6000.4400000000314</v>
      </c>
      <c r="S9" s="21"/>
      <c r="T9" s="22">
        <f>+T7-T8</f>
        <v>-5999.989999999998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0.45000000001164153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68575</v>
      </c>
      <c r="I13" s="36">
        <v>65773</v>
      </c>
      <c r="J13" s="30">
        <v>5788</v>
      </c>
      <c r="K13" s="63"/>
      <c r="L13" s="63"/>
      <c r="M13" s="63"/>
      <c r="N13" s="63"/>
      <c r="O13" s="63"/>
      <c r="P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100618</v>
      </c>
      <c r="I14" s="36">
        <v>4335</v>
      </c>
      <c r="J14" s="30"/>
      <c r="K14" s="64"/>
      <c r="L14" s="64"/>
      <c r="M14" s="64"/>
      <c r="N14" s="63"/>
      <c r="O14" s="63"/>
      <c r="P14" s="63"/>
    </row>
    <row r="15" spans="1:24">
      <c r="A15" s="33" t="s">
        <v>30</v>
      </c>
      <c r="B15" s="34" t="s">
        <v>13</v>
      </c>
      <c r="C15" s="29">
        <f t="shared" ref="C15:C25" si="1">+E15/D15</f>
        <v>133.62853342201529</v>
      </c>
      <c r="D15" s="30">
        <f t="shared" ref="D15:D25" si="2">+VLOOKUP(B15,A$4:C$6,3,0)</f>
        <v>90.21</v>
      </c>
      <c r="E15" s="42">
        <v>12054.63</v>
      </c>
      <c r="F15" s="34">
        <v>22335</v>
      </c>
      <c r="H15" s="36"/>
      <c r="I15" s="36">
        <v>49936</v>
      </c>
      <c r="J15" s="36"/>
      <c r="K15" s="65"/>
      <c r="L15" s="63"/>
      <c r="M15" s="63"/>
      <c r="N15" s="63"/>
      <c r="O15" s="63"/>
      <c r="P15" s="63"/>
    </row>
    <row r="16" spans="1:24">
      <c r="A16" s="33" t="s">
        <v>30</v>
      </c>
      <c r="B16" s="34" t="s">
        <v>13</v>
      </c>
      <c r="C16" s="29">
        <f t="shared" si="1"/>
        <v>5.8036803015186784</v>
      </c>
      <c r="D16" s="30">
        <f t="shared" si="2"/>
        <v>90.21</v>
      </c>
      <c r="E16" s="42">
        <v>523.54999999999995</v>
      </c>
      <c r="F16" s="34">
        <v>22336</v>
      </c>
      <c r="H16" s="30">
        <f>+H24/C4</f>
        <v>0</v>
      </c>
      <c r="I16" s="43">
        <f>+I24/C5</f>
        <v>0</v>
      </c>
      <c r="J16" s="43">
        <f>+J24/C6</f>
        <v>0</v>
      </c>
      <c r="K16" s="65"/>
      <c r="L16" s="63"/>
      <c r="M16" s="65"/>
      <c r="N16" s="63"/>
      <c r="O16" s="63"/>
      <c r="P16" s="63"/>
    </row>
    <row r="17" spans="1:16">
      <c r="A17" s="33" t="s">
        <v>31</v>
      </c>
      <c r="B17" s="34" t="s">
        <v>13</v>
      </c>
      <c r="C17" s="29">
        <f t="shared" si="1"/>
        <v>35.251524221261505</v>
      </c>
      <c r="D17" s="30">
        <f t="shared" si="2"/>
        <v>90.21</v>
      </c>
      <c r="E17" s="44">
        <v>3180.04</v>
      </c>
      <c r="F17" s="34">
        <v>22337</v>
      </c>
      <c r="H17" s="28"/>
      <c r="K17" s="65"/>
      <c r="L17" s="63"/>
      <c r="M17" s="63"/>
      <c r="N17" s="63"/>
      <c r="O17" s="63"/>
      <c r="P17" s="63"/>
    </row>
    <row r="18" spans="1:16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H18" s="68"/>
      <c r="I18" s="68"/>
      <c r="J18" s="68"/>
      <c r="K18" s="69"/>
      <c r="L18" s="69"/>
      <c r="M18" s="69"/>
      <c r="N18" s="69"/>
      <c r="O18" s="63"/>
      <c r="P18" s="63"/>
    </row>
    <row r="19" spans="1:16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H19" s="68"/>
      <c r="I19" s="68"/>
      <c r="J19" s="68"/>
      <c r="K19" s="70"/>
      <c r="L19" s="69"/>
      <c r="M19" s="70"/>
      <c r="N19" s="69"/>
      <c r="O19" s="63"/>
      <c r="P19" s="63"/>
    </row>
    <row r="20" spans="1:16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9"/>
      <c r="M20" s="69"/>
      <c r="N20" s="69"/>
      <c r="O20" s="63"/>
      <c r="P20" s="63"/>
    </row>
    <row r="21" spans="1:16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9"/>
      <c r="O21" s="63"/>
      <c r="P21" s="63"/>
    </row>
    <row r="22" spans="1:16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9"/>
      <c r="O22" s="63"/>
      <c r="P22" s="63"/>
    </row>
    <row r="23" spans="1:16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9"/>
      <c r="O23" s="63"/>
      <c r="P23" s="63"/>
    </row>
    <row r="24" spans="1:16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9"/>
      <c r="O24" s="63"/>
      <c r="P24" s="63"/>
    </row>
    <row r="25" spans="1:16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9"/>
      <c r="O25" s="63"/>
      <c r="P25" s="63"/>
    </row>
    <row r="26" spans="1:16">
      <c r="A26" s="30"/>
      <c r="B26" s="30"/>
      <c r="C26" s="29">
        <f>SUM(C15:C25)</f>
        <v>174.6837379447955</v>
      </c>
      <c r="D26" s="29"/>
      <c r="E26" s="29">
        <f>SUM(E15:E25)</f>
        <v>15758.219999999998</v>
      </c>
      <c r="F26" s="30"/>
      <c r="H26" s="68"/>
      <c r="I26" s="68"/>
      <c r="J26" s="68"/>
      <c r="K26" s="69"/>
      <c r="L26" s="69"/>
      <c r="M26" s="69"/>
      <c r="N26" s="69"/>
      <c r="O26" s="63"/>
      <c r="P26" s="63"/>
    </row>
    <row r="27" spans="1:16">
      <c r="H27" s="68"/>
      <c r="I27" s="68"/>
      <c r="J27" s="68"/>
      <c r="K27" s="69"/>
      <c r="L27" s="69"/>
      <c r="M27" s="69"/>
      <c r="N27" s="69"/>
      <c r="O27" s="63"/>
      <c r="P27" s="63"/>
    </row>
    <row r="28" spans="1:16">
      <c r="H28" s="68"/>
      <c r="I28" s="68"/>
      <c r="J28" s="68"/>
      <c r="K28" s="69"/>
      <c r="L28" s="69"/>
      <c r="M28" s="69"/>
      <c r="N28" s="69"/>
      <c r="O28" s="63"/>
      <c r="P28" s="63"/>
    </row>
    <row r="29" spans="1:16">
      <c r="H29" s="68"/>
      <c r="I29" s="68"/>
      <c r="J29" s="68"/>
      <c r="K29" s="69"/>
      <c r="L29" s="69"/>
      <c r="M29" s="69"/>
      <c r="N29" s="69"/>
      <c r="O29" s="63"/>
      <c r="P29" s="63"/>
    </row>
    <row r="30" spans="1:16">
      <c r="H30" s="68"/>
      <c r="I30" s="68"/>
      <c r="J30" s="68"/>
      <c r="K30" s="69"/>
      <c r="L30" s="69"/>
      <c r="M30" s="69"/>
      <c r="N30" s="69"/>
      <c r="O30" s="63"/>
      <c r="P30" s="63"/>
    </row>
    <row r="31" spans="1:16">
      <c r="H31" s="68"/>
      <c r="I31" s="68"/>
      <c r="J31" s="68"/>
      <c r="K31" s="69"/>
      <c r="L31" s="69"/>
      <c r="M31" s="69"/>
      <c r="N31" s="69"/>
      <c r="O31" s="63"/>
      <c r="P31" s="63"/>
    </row>
    <row r="32" spans="1:16">
      <c r="H32" s="68"/>
      <c r="I32" s="68"/>
      <c r="J32" s="68"/>
      <c r="K32" s="68"/>
      <c r="L32" s="68"/>
      <c r="M32" s="68"/>
      <c r="N32" s="68"/>
    </row>
    <row r="33" spans="8:14">
      <c r="H33" s="68"/>
      <c r="I33" s="68"/>
      <c r="J33" s="68"/>
      <c r="K33" s="68"/>
      <c r="L33" s="68"/>
      <c r="M33" s="68"/>
      <c r="N33" s="68"/>
    </row>
    <row r="34" spans="8:14">
      <c r="H34" s="68"/>
      <c r="I34" s="68"/>
      <c r="J34" s="68"/>
      <c r="K34" s="68"/>
      <c r="L34" s="68"/>
      <c r="M34" s="68"/>
      <c r="N34" s="68"/>
    </row>
    <row r="35" spans="8:14">
      <c r="H35" s="68"/>
      <c r="I35" s="68"/>
      <c r="J35" s="68"/>
      <c r="K35" s="68"/>
      <c r="L35" s="68"/>
      <c r="M35" s="68"/>
      <c r="N35" s="68"/>
    </row>
    <row r="36" spans="8:14">
      <c r="H36" s="68"/>
      <c r="I36" s="68"/>
      <c r="J36" s="68"/>
      <c r="K36" s="68"/>
      <c r="L36" s="68"/>
      <c r="M36" s="68"/>
      <c r="N36" s="68"/>
    </row>
    <row r="37" spans="8:14">
      <c r="H37" s="68"/>
      <c r="I37" s="68"/>
      <c r="J37" s="68"/>
      <c r="K37" s="68"/>
      <c r="L37" s="68"/>
      <c r="M37" s="68"/>
      <c r="N37" s="68"/>
    </row>
    <row r="38" spans="8:14">
      <c r="H38" s="68"/>
      <c r="I38" s="68"/>
      <c r="J38" s="68"/>
      <c r="K38" s="68"/>
      <c r="L38" s="68"/>
      <c r="M38" s="68"/>
      <c r="N38" s="68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topLeftCell="I1" workbookViewId="0">
      <selection activeCell="E3" sqref="E3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526.13978494623666</v>
      </c>
    </row>
    <row r="4" spans="1:24" s="2" customFormat="1">
      <c r="A4" s="3" t="s">
        <v>14</v>
      </c>
      <c r="B4" s="12">
        <f>+(H13+H14+H15)/$C$4</f>
        <v>1323.9518670614077</v>
      </c>
      <c r="C4" s="4">
        <v>104.71</v>
      </c>
      <c r="D4" s="5">
        <f>B4*C4</f>
        <v>138631</v>
      </c>
      <c r="E4" s="6">
        <v>0</v>
      </c>
      <c r="F4" s="7">
        <f>+E4*C4</f>
        <v>0</v>
      </c>
      <c r="G4" s="9">
        <f>+(H8*60%)/$C$4</f>
        <v>533.47833062744724</v>
      </c>
      <c r="H4" s="7">
        <f>+G4*C4</f>
        <v>55860.515999999996</v>
      </c>
      <c r="I4" s="6">
        <f>J4/C4</f>
        <v>0</v>
      </c>
      <c r="J4" s="7">
        <v>0</v>
      </c>
      <c r="K4" s="8">
        <f>+L8/$C$4</f>
        <v>243.39461369496706</v>
      </c>
      <c r="L4" s="7">
        <f>+K4*C4</f>
        <v>25485.85</v>
      </c>
      <c r="M4" s="9">
        <f>+(N8*60%)/$C$4</f>
        <v>417.10491834590772</v>
      </c>
      <c r="N4" s="7">
        <f>+M4*C4</f>
        <v>43675.055999999997</v>
      </c>
      <c r="O4" s="9"/>
      <c r="P4" s="7">
        <f>+O4*C4</f>
        <v>0</v>
      </c>
      <c r="Q4" s="6">
        <v>129.97400439308575</v>
      </c>
      <c r="R4" s="7">
        <f>+Q4*C4</f>
        <v>13609.578000000009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2101.7292983039574</v>
      </c>
      <c r="C5" s="4">
        <v>90.21</v>
      </c>
      <c r="D5" s="5">
        <f>B5*C5</f>
        <v>189597</v>
      </c>
      <c r="E5" s="6">
        <v>0</v>
      </c>
      <c r="F5" s="7">
        <f>+E5*C5</f>
        <v>0</v>
      </c>
      <c r="G5" s="6">
        <f>+(H8*40%)/$C$5</f>
        <v>412.81835716661129</v>
      </c>
      <c r="H5" s="7">
        <f>+G5*C5</f>
        <v>37240.344000000005</v>
      </c>
      <c r="I5" s="6">
        <f>+J8/C5</f>
        <v>17.736392861101876</v>
      </c>
      <c r="J5" s="7">
        <f>+I5*C5</f>
        <v>1600.0000000000002</v>
      </c>
      <c r="K5" s="6">
        <v>0</v>
      </c>
      <c r="L5" s="7">
        <f>+K5*C5</f>
        <v>0</v>
      </c>
      <c r="M5" s="6">
        <f>+(N8*40%)/$C$5</f>
        <v>322.76581310276021</v>
      </c>
      <c r="N5" s="7">
        <f>+M5*C5</f>
        <v>29116.703999999998</v>
      </c>
      <c r="O5" s="9">
        <f>+P8/C5</f>
        <v>0</v>
      </c>
      <c r="P5" s="7">
        <f>+O5*C5</f>
        <v>0</v>
      </c>
      <c r="Q5" s="6">
        <v>822.26895022724739</v>
      </c>
      <c r="R5" s="7">
        <f>+Q5*C5</f>
        <v>74176.881999999983</v>
      </c>
      <c r="S5" s="10">
        <f>+X3</f>
        <v>526.13978494623666</v>
      </c>
      <c r="T5" s="7">
        <f>+S5*C5</f>
        <v>47463.070000000007</v>
      </c>
      <c r="U5" s="11">
        <f>+B5-E5-G5-Q5-S5-K5-I5-M5-O5</f>
        <v>-5.6843418860808015E-14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343.47517730496457</v>
      </c>
      <c r="C6" s="4">
        <v>112.8</v>
      </c>
      <c r="D6" s="5">
        <f>B6*C6</f>
        <v>38744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343.47517730496457</v>
      </c>
      <c r="R6" s="7">
        <f>+Q6*C6</f>
        <v>38744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3769.1563426703296</v>
      </c>
      <c r="C7" s="3"/>
      <c r="D7" s="13">
        <f t="shared" ref="D7:T7" si="0">SUM(D4:D6)</f>
        <v>366972</v>
      </c>
      <c r="E7" s="14">
        <f t="shared" si="0"/>
        <v>0</v>
      </c>
      <c r="F7" s="15">
        <f t="shared" si="0"/>
        <v>0</v>
      </c>
      <c r="G7" s="14">
        <f t="shared" si="0"/>
        <v>946.29668779405847</v>
      </c>
      <c r="H7" s="15">
        <f t="shared" si="0"/>
        <v>93100.86</v>
      </c>
      <c r="I7" s="14">
        <f t="shared" si="0"/>
        <v>17.736392861101876</v>
      </c>
      <c r="J7" s="15">
        <f t="shared" si="0"/>
        <v>1600.0000000000002</v>
      </c>
      <c r="K7" s="14">
        <f t="shared" si="0"/>
        <v>243.39461369496706</v>
      </c>
      <c r="L7" s="15">
        <f t="shared" si="0"/>
        <v>25485.85</v>
      </c>
      <c r="M7" s="14">
        <f t="shared" si="0"/>
        <v>739.87073144866793</v>
      </c>
      <c r="N7" s="15">
        <f t="shared" si="0"/>
        <v>72791.759999999995</v>
      </c>
      <c r="O7" s="14">
        <f t="shared" si="0"/>
        <v>0</v>
      </c>
      <c r="P7" s="15">
        <f t="shared" si="0"/>
        <v>0</v>
      </c>
      <c r="Q7" s="14">
        <f t="shared" si="0"/>
        <v>1295.7181319252977</v>
      </c>
      <c r="R7" s="15">
        <f t="shared" si="0"/>
        <v>126530.45999999999</v>
      </c>
      <c r="S7" s="14">
        <f t="shared" si="0"/>
        <v>526.13978494623666</v>
      </c>
      <c r="T7" s="15">
        <f t="shared" si="0"/>
        <v>47463.070000000007</v>
      </c>
      <c r="U7" s="11">
        <f>+B7-E7-G7-Q7-S7-K7-I7-M7-O7</f>
        <v>-1.1368683772161603E-13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93100.86</v>
      </c>
      <c r="I8" s="18"/>
      <c r="J8" s="19">
        <v>1600</v>
      </c>
      <c r="K8" s="18"/>
      <c r="L8" s="19">
        <v>25485.85</v>
      </c>
      <c r="M8" s="20"/>
      <c r="N8" s="19">
        <v>72791.759999999995</v>
      </c>
      <c r="O8" s="20" t="s">
        <v>19</v>
      </c>
      <c r="P8" s="19">
        <v>0</v>
      </c>
      <c r="Q8" s="18">
        <v>0</v>
      </c>
      <c r="R8" s="19">
        <v>119210</v>
      </c>
      <c r="S8" s="18"/>
      <c r="T8" s="19">
        <v>54783.07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7320.4599999999919</v>
      </c>
      <c r="S9" s="21"/>
      <c r="T9" s="22">
        <f>+T7-T8</f>
        <v>-7319.9999999999927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0.46000000000640284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  <c r="K12" s="63"/>
      <c r="L12" s="63"/>
      <c r="M12" s="63"/>
      <c r="N12" s="63"/>
      <c r="O12" s="63"/>
      <c r="P12" s="63"/>
      <c r="Q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69737</v>
      </c>
      <c r="I13" s="36">
        <v>40021</v>
      </c>
      <c r="J13" s="30">
        <v>38744</v>
      </c>
      <c r="K13" s="63"/>
      <c r="L13" s="63"/>
      <c r="M13" s="63"/>
      <c r="N13" s="63"/>
      <c r="O13" s="63"/>
      <c r="P13" s="63"/>
      <c r="Q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68894</v>
      </c>
      <c r="I14" s="36">
        <v>98392</v>
      </c>
      <c r="J14" s="30"/>
      <c r="K14" s="64"/>
      <c r="L14" s="64"/>
      <c r="M14" s="64"/>
      <c r="N14" s="63"/>
      <c r="O14" s="63"/>
      <c r="P14" s="63"/>
      <c r="Q14" s="63"/>
    </row>
    <row r="15" spans="1:24">
      <c r="A15" s="33" t="s">
        <v>33</v>
      </c>
      <c r="B15" s="34" t="s">
        <v>13</v>
      </c>
      <c r="C15" s="29">
        <f t="shared" ref="C15:C25" si="1">+E15/D15</f>
        <v>244.65990466688839</v>
      </c>
      <c r="D15" s="30">
        <f t="shared" ref="D15:D25" si="2">+VLOOKUP(B15,A$4:C$6,3,0)</f>
        <v>90.21</v>
      </c>
      <c r="E15" s="42">
        <v>22070.77</v>
      </c>
      <c r="F15" s="34">
        <v>22339</v>
      </c>
      <c r="H15" s="36"/>
      <c r="I15" s="36">
        <v>51184</v>
      </c>
      <c r="J15" s="36"/>
      <c r="K15" s="65"/>
      <c r="L15" s="63"/>
      <c r="M15" s="63"/>
      <c r="N15" s="63"/>
      <c r="O15" s="63"/>
      <c r="P15" s="63"/>
      <c r="Q15" s="63"/>
      <c r="V15">
        <f>2123+9236+3417.23+18069.1</f>
        <v>32845.33</v>
      </c>
    </row>
    <row r="16" spans="1:24">
      <c r="A16" s="33" t="s">
        <v>34</v>
      </c>
      <c r="B16" s="34" t="s">
        <v>13</v>
      </c>
      <c r="C16" s="29">
        <f t="shared" si="1"/>
        <v>242.22990799246207</v>
      </c>
      <c r="D16" s="30">
        <f t="shared" si="2"/>
        <v>90.21</v>
      </c>
      <c r="E16" s="42">
        <v>21851.56</v>
      </c>
      <c r="F16" s="34">
        <v>22340</v>
      </c>
      <c r="H16" s="30">
        <f>+H24/C4</f>
        <v>0</v>
      </c>
      <c r="I16" s="43">
        <f>+I24/C5</f>
        <v>0</v>
      </c>
      <c r="J16" s="43">
        <f>+J24/C6</f>
        <v>0</v>
      </c>
      <c r="K16" s="65"/>
      <c r="L16" s="63"/>
      <c r="M16" s="65"/>
      <c r="N16" s="63"/>
      <c r="O16" s="63"/>
      <c r="P16" s="63"/>
      <c r="Q16" s="63"/>
    </row>
    <row r="17" spans="1:17">
      <c r="A17" s="33" t="s">
        <v>35</v>
      </c>
      <c r="B17" s="34" t="s">
        <v>13</v>
      </c>
      <c r="C17" s="29">
        <f t="shared" si="1"/>
        <v>39.249972286886155</v>
      </c>
      <c r="D17" s="30">
        <f t="shared" si="2"/>
        <v>90.21</v>
      </c>
      <c r="E17" s="44">
        <v>3540.74</v>
      </c>
      <c r="F17" s="34">
        <v>22342</v>
      </c>
      <c r="H17" s="28"/>
      <c r="K17" s="65"/>
      <c r="L17" s="63"/>
      <c r="M17" s="63"/>
      <c r="N17" s="63"/>
      <c r="O17" s="63"/>
      <c r="P17" s="63"/>
      <c r="Q17" s="63"/>
    </row>
    <row r="18" spans="1:17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H18" s="68"/>
      <c r="I18" s="68"/>
      <c r="J18" s="68"/>
      <c r="K18" s="69"/>
      <c r="L18" s="69"/>
      <c r="M18" s="69"/>
      <c r="N18" s="69"/>
      <c r="O18" s="63"/>
      <c r="P18" s="63"/>
      <c r="Q18" s="63"/>
    </row>
    <row r="19" spans="1:17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H19" s="68"/>
      <c r="I19" s="68"/>
      <c r="J19" s="68"/>
      <c r="K19" s="70"/>
      <c r="L19" s="69"/>
      <c r="M19" s="70"/>
      <c r="N19" s="69"/>
      <c r="O19" s="63"/>
      <c r="P19" s="63"/>
      <c r="Q19" s="63"/>
    </row>
    <row r="20" spans="1:17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9"/>
      <c r="M20" s="69"/>
      <c r="N20" s="69"/>
      <c r="O20" s="63"/>
      <c r="P20" s="63"/>
      <c r="Q20" s="63"/>
    </row>
    <row r="21" spans="1:17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9"/>
      <c r="O21" s="63"/>
      <c r="P21" s="63"/>
      <c r="Q21" s="63"/>
    </row>
    <row r="22" spans="1:17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9"/>
      <c r="O22" s="63"/>
      <c r="P22" s="63"/>
      <c r="Q22" s="63"/>
    </row>
    <row r="23" spans="1:1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9"/>
      <c r="O23" s="63"/>
      <c r="P23" s="63"/>
      <c r="Q23" s="63"/>
    </row>
    <row r="24" spans="1:1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9"/>
      <c r="O24" s="63"/>
      <c r="P24" s="63"/>
      <c r="Q24" s="63"/>
    </row>
    <row r="25" spans="1:1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9"/>
      <c r="O25" s="63"/>
      <c r="P25" s="63"/>
      <c r="Q25" s="63"/>
    </row>
    <row r="26" spans="1:17">
      <c r="A26" s="30"/>
      <c r="B26" s="30"/>
      <c r="C26" s="29">
        <f>SUM(C15:C25)</f>
        <v>526.13978494623666</v>
      </c>
      <c r="D26" s="29"/>
      <c r="E26" s="29">
        <f>SUM(E15:E25)</f>
        <v>47463.07</v>
      </c>
      <c r="F26" s="30"/>
      <c r="H26" s="68"/>
      <c r="I26" s="68"/>
      <c r="J26" s="68"/>
      <c r="K26" s="69"/>
      <c r="L26" s="69"/>
      <c r="M26" s="69"/>
      <c r="N26" s="69"/>
      <c r="O26" s="63"/>
      <c r="P26" s="63"/>
      <c r="Q26" s="63"/>
    </row>
    <row r="27" spans="1:17">
      <c r="H27" s="68"/>
      <c r="I27" s="68"/>
      <c r="J27" s="68"/>
      <c r="K27" s="69"/>
      <c r="L27" s="69"/>
      <c r="M27" s="69"/>
      <c r="N27" s="69"/>
      <c r="O27" s="63"/>
      <c r="P27" s="63"/>
      <c r="Q27" s="63"/>
    </row>
    <row r="28" spans="1:17">
      <c r="H28" s="68"/>
      <c r="I28" s="68"/>
      <c r="J28" s="68"/>
      <c r="K28" s="69"/>
      <c r="L28" s="69"/>
      <c r="M28" s="69"/>
      <c r="N28" s="69"/>
      <c r="O28" s="63"/>
      <c r="P28" s="63"/>
      <c r="Q28" s="63"/>
    </row>
    <row r="29" spans="1:17">
      <c r="H29" s="68"/>
      <c r="I29" s="68"/>
      <c r="J29" s="68"/>
      <c r="K29" s="69"/>
      <c r="L29" s="69"/>
      <c r="M29" s="69"/>
      <c r="N29" s="69"/>
      <c r="O29" s="63"/>
      <c r="P29" s="63"/>
      <c r="Q29" s="63"/>
    </row>
    <row r="30" spans="1:17">
      <c r="H30" s="68"/>
      <c r="I30" s="68"/>
      <c r="J30" s="68"/>
      <c r="K30" s="69"/>
      <c r="L30" s="69"/>
      <c r="M30" s="69"/>
      <c r="N30" s="69"/>
      <c r="O30" s="63"/>
      <c r="P30" s="63"/>
      <c r="Q30" s="63"/>
    </row>
    <row r="31" spans="1:17">
      <c r="H31" s="68"/>
      <c r="I31" s="68"/>
      <c r="J31" s="68"/>
      <c r="K31" s="69"/>
      <c r="L31" s="69"/>
      <c r="M31" s="69"/>
      <c r="N31" s="69"/>
      <c r="O31" s="63"/>
      <c r="P31" s="63"/>
      <c r="Q31" s="63"/>
    </row>
    <row r="32" spans="1:17">
      <c r="H32" s="68"/>
      <c r="I32" s="68"/>
      <c r="J32" s="68"/>
      <c r="K32" s="69"/>
      <c r="L32" s="69"/>
      <c r="M32" s="69"/>
      <c r="N32" s="69"/>
      <c r="O32" s="63"/>
      <c r="P32" s="63"/>
      <c r="Q32" s="63"/>
    </row>
    <row r="33" spans="8:17">
      <c r="H33" s="68"/>
      <c r="I33" s="68"/>
      <c r="J33" s="68"/>
      <c r="K33" s="69"/>
      <c r="L33" s="69"/>
      <c r="M33" s="69"/>
      <c r="N33" s="69"/>
      <c r="O33" s="63"/>
      <c r="P33" s="63"/>
      <c r="Q33" s="63"/>
    </row>
    <row r="34" spans="8:17">
      <c r="H34" s="68"/>
      <c r="I34" s="68"/>
      <c r="J34" s="68"/>
      <c r="K34" s="69"/>
      <c r="L34" s="69"/>
      <c r="M34" s="69"/>
      <c r="N34" s="69"/>
      <c r="O34" s="63"/>
      <c r="P34" s="63"/>
      <c r="Q34" s="63"/>
    </row>
    <row r="35" spans="8:17">
      <c r="H35" s="68"/>
      <c r="I35" s="68"/>
      <c r="J35" s="68"/>
      <c r="K35" s="69"/>
      <c r="L35" s="69"/>
      <c r="M35" s="69"/>
      <c r="N35" s="69"/>
      <c r="O35" s="63"/>
      <c r="P35" s="63"/>
      <c r="Q35" s="63"/>
    </row>
    <row r="36" spans="8:17">
      <c r="H36" s="68"/>
      <c r="I36" s="68"/>
      <c r="J36" s="68"/>
      <c r="K36" s="69"/>
      <c r="L36" s="69"/>
      <c r="M36" s="69"/>
      <c r="N36" s="69"/>
      <c r="O36" s="63"/>
      <c r="P36" s="63"/>
      <c r="Q36" s="63"/>
    </row>
    <row r="37" spans="8:17">
      <c r="H37" s="68"/>
      <c r="I37" s="68"/>
      <c r="J37" s="68"/>
      <c r="K37" s="69"/>
      <c r="L37" s="69"/>
      <c r="M37" s="69"/>
      <c r="N37" s="69"/>
      <c r="O37" s="63"/>
      <c r="P37" s="63"/>
      <c r="Q37" s="63"/>
    </row>
    <row r="38" spans="8:17">
      <c r="H38" s="68"/>
      <c r="I38" s="68"/>
      <c r="J38" s="68"/>
      <c r="K38" s="69"/>
      <c r="L38" s="69"/>
      <c r="M38" s="69"/>
      <c r="N38" s="69"/>
      <c r="O38" s="63"/>
      <c r="P38" s="63"/>
      <c r="Q38" s="63"/>
    </row>
    <row r="39" spans="8:17">
      <c r="H39" s="68"/>
      <c r="I39" s="68"/>
      <c r="J39" s="68"/>
      <c r="K39" s="69"/>
      <c r="L39" s="69"/>
      <c r="M39" s="69"/>
      <c r="N39" s="69"/>
      <c r="O39" s="63"/>
      <c r="P39" s="63"/>
      <c r="Q39" s="63"/>
    </row>
    <row r="40" spans="8:17">
      <c r="K40" s="63"/>
      <c r="L40" s="63"/>
      <c r="M40" s="63"/>
      <c r="N40" s="63"/>
      <c r="O40" s="63"/>
      <c r="P40" s="63"/>
      <c r="Q40" s="63"/>
    </row>
    <row r="41" spans="8:17">
      <c r="K41" s="63"/>
      <c r="L41" s="63"/>
      <c r="M41" s="63"/>
      <c r="N41" s="63"/>
      <c r="O41" s="63"/>
      <c r="P41" s="63"/>
      <c r="Q41" s="63"/>
    </row>
    <row r="42" spans="8:17">
      <c r="K42" s="63"/>
      <c r="L42" s="63"/>
      <c r="M42" s="63"/>
      <c r="N42" s="63"/>
      <c r="O42" s="63"/>
      <c r="P42" s="63"/>
      <c r="Q42" s="63"/>
    </row>
    <row r="43" spans="8:17">
      <c r="K43" s="63"/>
      <c r="L43" s="63"/>
      <c r="M43" s="63"/>
      <c r="N43" s="63"/>
      <c r="O43" s="63"/>
      <c r="P43" s="63"/>
      <c r="Q43" s="63"/>
    </row>
    <row r="44" spans="8:17">
      <c r="K44" s="63"/>
      <c r="L44" s="63"/>
      <c r="M44" s="63"/>
      <c r="N44" s="63"/>
      <c r="O44" s="63"/>
      <c r="P44" s="63"/>
      <c r="Q44" s="63"/>
    </row>
    <row r="45" spans="8:17">
      <c r="K45" s="63"/>
      <c r="L45" s="63"/>
      <c r="M45" s="63"/>
      <c r="N45" s="63"/>
      <c r="O45" s="63"/>
      <c r="P45" s="63"/>
      <c r="Q45" s="63"/>
    </row>
    <row r="46" spans="8:17">
      <c r="K46" s="63"/>
      <c r="L46" s="63"/>
      <c r="M46" s="63"/>
      <c r="N46" s="63"/>
      <c r="O46" s="63"/>
      <c r="P46" s="63"/>
      <c r="Q46" s="63"/>
    </row>
    <row r="47" spans="8:17">
      <c r="K47" s="63"/>
      <c r="L47" s="63"/>
      <c r="M47" s="63"/>
      <c r="N47" s="63"/>
      <c r="O47" s="63"/>
      <c r="P47" s="63"/>
      <c r="Q47" s="63"/>
    </row>
    <row r="48" spans="8:17">
      <c r="K48" s="63"/>
      <c r="L48" s="63"/>
      <c r="M48" s="63"/>
      <c r="N48" s="63"/>
      <c r="O48" s="63"/>
      <c r="P48" s="63"/>
      <c r="Q48" s="63"/>
    </row>
    <row r="49" spans="5:17">
      <c r="K49" s="63"/>
      <c r="L49" s="63"/>
      <c r="M49" s="63"/>
      <c r="N49" s="63"/>
      <c r="O49" s="63"/>
      <c r="P49" s="63"/>
      <c r="Q49" s="63"/>
    </row>
    <row r="50" spans="5:17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0"/>
  <sheetViews>
    <sheetView topLeftCell="I1" workbookViewId="0">
      <selection activeCell="H1" sqref="H1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1007.2985256623434</v>
      </c>
    </row>
    <row r="4" spans="1:24" s="2" customFormat="1">
      <c r="A4" s="3" t="s">
        <v>14</v>
      </c>
      <c r="B4" s="12">
        <f>+(H13+H14+H15)/$C$4</f>
        <v>1541.2090535765449</v>
      </c>
      <c r="C4" s="4">
        <v>104.71</v>
      </c>
      <c r="D4" s="5">
        <f>B4*C4</f>
        <v>161380</v>
      </c>
      <c r="E4" s="6">
        <v>0</v>
      </c>
      <c r="F4" s="7">
        <f>+E4*C4</f>
        <v>0</v>
      </c>
      <c r="G4" s="9">
        <f>+(H8*60%)/$C$4</f>
        <v>438.23218412759053</v>
      </c>
      <c r="H4" s="7">
        <f>+G4*C4</f>
        <v>45887.292000000001</v>
      </c>
      <c r="I4" s="6">
        <f>J4/C4</f>
        <v>0</v>
      </c>
      <c r="J4" s="7">
        <v>0</v>
      </c>
      <c r="K4" s="8">
        <f>+L8/$C$4</f>
        <v>35.084614649985674</v>
      </c>
      <c r="L4" s="7">
        <f>+K4*C4</f>
        <v>3673.7099999999996</v>
      </c>
      <c r="M4" s="9">
        <f>+(N8*60%)/$C$4</f>
        <v>638.89170088816729</v>
      </c>
      <c r="N4" s="7">
        <f>+M4*C4</f>
        <v>66898.349999999991</v>
      </c>
      <c r="O4" s="9"/>
      <c r="P4" s="7">
        <f>+O4*C4</f>
        <v>0</v>
      </c>
      <c r="Q4" s="6">
        <v>429.00055391080139</v>
      </c>
      <c r="R4" s="7">
        <f>+Q4*C4</f>
        <v>44920.648000000008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2006.684403059528</v>
      </c>
      <c r="C5" s="4">
        <v>90.21</v>
      </c>
      <c r="D5" s="5">
        <f>B5*C5</f>
        <v>181023</v>
      </c>
      <c r="E5" s="6">
        <v>0</v>
      </c>
      <c r="F5" s="7">
        <f>+E5*C5</f>
        <v>0</v>
      </c>
      <c r="G5" s="6">
        <f>+(H8*40%)/$C$5</f>
        <v>339.11459926837387</v>
      </c>
      <c r="H5" s="7">
        <f>+G5*C5</f>
        <v>30591.528000000006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494.38975723312274</v>
      </c>
      <c r="N5" s="7">
        <f>+M5*C5</f>
        <v>44598.9</v>
      </c>
      <c r="O5" s="9">
        <f>+P8/C5</f>
        <v>0</v>
      </c>
      <c r="P5" s="7">
        <f>+O5*C5</f>
        <v>0</v>
      </c>
      <c r="Q5" s="6">
        <v>165.88152089568791</v>
      </c>
      <c r="R5" s="7">
        <f>+Q5*C5</f>
        <v>14964.172000000006</v>
      </c>
      <c r="S5" s="10">
        <f>+X3</f>
        <v>1007.2985256623434</v>
      </c>
      <c r="T5" s="7">
        <f>+S5*C5</f>
        <v>90868.4</v>
      </c>
      <c r="U5" s="11">
        <f>+B5-E5-G5-Q5-S5-K5-I5-M5-O5</f>
        <v>1.1368683772161603E-13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140.36347517730496</v>
      </c>
      <c r="C6" s="4">
        <v>112.8</v>
      </c>
      <c r="D6" s="5">
        <f>B6*C6</f>
        <v>15833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140.36347517730496</v>
      </c>
      <c r="R6" s="7">
        <f>+Q6*C6</f>
        <v>15833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3688.2569318133783</v>
      </c>
      <c r="C7" s="3"/>
      <c r="D7" s="13">
        <f t="shared" ref="D7:T7" si="0">SUM(D4:D6)</f>
        <v>358236</v>
      </c>
      <c r="E7" s="14">
        <f t="shared" si="0"/>
        <v>0</v>
      </c>
      <c r="F7" s="15">
        <f t="shared" si="0"/>
        <v>0</v>
      </c>
      <c r="G7" s="14">
        <f t="shared" si="0"/>
        <v>777.34678339596439</v>
      </c>
      <c r="H7" s="15">
        <f t="shared" si="0"/>
        <v>76478.820000000007</v>
      </c>
      <c r="I7" s="14">
        <f t="shared" si="0"/>
        <v>0</v>
      </c>
      <c r="J7" s="15">
        <f t="shared" si="0"/>
        <v>0</v>
      </c>
      <c r="K7" s="14">
        <f t="shared" si="0"/>
        <v>35.084614649985674</v>
      </c>
      <c r="L7" s="15">
        <f t="shared" si="0"/>
        <v>3673.7099999999996</v>
      </c>
      <c r="M7" s="14">
        <f t="shared" si="0"/>
        <v>1133.2814581212901</v>
      </c>
      <c r="N7" s="15">
        <f t="shared" si="0"/>
        <v>111497.25</v>
      </c>
      <c r="O7" s="14">
        <f t="shared" si="0"/>
        <v>0</v>
      </c>
      <c r="P7" s="15">
        <f t="shared" si="0"/>
        <v>0</v>
      </c>
      <c r="Q7" s="14">
        <f t="shared" si="0"/>
        <v>735.24554998379426</v>
      </c>
      <c r="R7" s="15">
        <f t="shared" si="0"/>
        <v>75717.820000000007</v>
      </c>
      <c r="S7" s="14">
        <f t="shared" si="0"/>
        <v>1007.2985256623434</v>
      </c>
      <c r="T7" s="15">
        <f t="shared" si="0"/>
        <v>90868.4</v>
      </c>
      <c r="U7" s="11">
        <f>+B7-E7-G7-Q7-S7-K7-I7-M7-O7</f>
        <v>4.5474735088646412E-13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76478.820000000007</v>
      </c>
      <c r="I8" s="18"/>
      <c r="J8" s="19">
        <v>0</v>
      </c>
      <c r="K8" s="18"/>
      <c r="L8" s="19">
        <v>3673.71</v>
      </c>
      <c r="M8" s="20"/>
      <c r="N8" s="19">
        <v>111497.25</v>
      </c>
      <c r="O8" s="20" t="s">
        <v>19</v>
      </c>
      <c r="P8" s="19">
        <v>0</v>
      </c>
      <c r="Q8" s="18">
        <v>0</v>
      </c>
      <c r="R8" s="19">
        <v>75717</v>
      </c>
      <c r="S8" s="18"/>
      <c r="T8" s="19">
        <v>90869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0.82000000000698492</v>
      </c>
      <c r="S9" s="21"/>
      <c r="T9" s="22">
        <f>+T7-T8</f>
        <v>-0.60000000000582077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0.21999999997206032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  <c r="K12" s="63"/>
      <c r="L12" s="63"/>
      <c r="M12" s="63"/>
      <c r="N12" s="63"/>
      <c r="O12" s="63"/>
      <c r="P12" s="63"/>
      <c r="Q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75024</v>
      </c>
      <c r="I13" s="36">
        <v>42280</v>
      </c>
      <c r="J13" s="30">
        <v>15833</v>
      </c>
      <c r="K13" s="63"/>
      <c r="L13" s="63"/>
      <c r="M13" s="63"/>
      <c r="N13" s="63"/>
      <c r="O13" s="63"/>
      <c r="P13" s="63"/>
      <c r="Q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86356</v>
      </c>
      <c r="I14" s="36">
        <v>50835</v>
      </c>
      <c r="J14" s="30"/>
      <c r="K14" s="64"/>
      <c r="L14" s="64"/>
      <c r="M14" s="64"/>
      <c r="N14" s="63"/>
      <c r="O14" s="63"/>
      <c r="P14" s="63"/>
      <c r="Q14" s="63"/>
    </row>
    <row r="15" spans="1:24">
      <c r="A15" s="33" t="s">
        <v>30</v>
      </c>
      <c r="B15" s="34" t="s">
        <v>13</v>
      </c>
      <c r="C15" s="29">
        <f t="shared" ref="C15:C25" si="1">+E15/D15</f>
        <v>226.7399401396741</v>
      </c>
      <c r="D15" s="30">
        <f t="shared" ref="D15:D25" si="2">+VLOOKUP(B15,A$4:C$6,3,0)</f>
        <v>90.21</v>
      </c>
      <c r="E15" s="42">
        <v>20454.21</v>
      </c>
      <c r="F15" s="34">
        <v>22343</v>
      </c>
      <c r="H15" s="36"/>
      <c r="I15" s="36">
        <v>87908</v>
      </c>
      <c r="J15" s="36"/>
      <c r="K15" s="65"/>
      <c r="L15" s="63"/>
      <c r="M15" s="63"/>
      <c r="N15" s="63"/>
      <c r="O15" s="63"/>
      <c r="P15" s="63"/>
      <c r="Q15" s="63"/>
      <c r="V15">
        <f>2123+9236+3417.23+18069.1</f>
        <v>32845.33</v>
      </c>
    </row>
    <row r="16" spans="1:24">
      <c r="A16" s="33" t="s">
        <v>30</v>
      </c>
      <c r="B16" s="34" t="s">
        <v>13</v>
      </c>
      <c r="C16" s="29">
        <f t="shared" si="1"/>
        <v>8.3139341536415046</v>
      </c>
      <c r="D16" s="30">
        <f t="shared" si="2"/>
        <v>90.21</v>
      </c>
      <c r="E16" s="42">
        <v>750</v>
      </c>
      <c r="F16" s="34">
        <v>22344</v>
      </c>
      <c r="H16" s="30">
        <f>+H24/C4</f>
        <v>0</v>
      </c>
      <c r="I16" s="43">
        <f>+I24/C5</f>
        <v>0</v>
      </c>
      <c r="J16" s="43">
        <f>+J24/C6</f>
        <v>0</v>
      </c>
      <c r="K16" s="65"/>
      <c r="L16" s="63"/>
      <c r="M16" s="65"/>
      <c r="N16" s="63"/>
      <c r="O16" s="63"/>
      <c r="P16" s="63"/>
      <c r="Q16" s="63"/>
    </row>
    <row r="17" spans="1:17">
      <c r="A17" s="33" t="s">
        <v>33</v>
      </c>
      <c r="B17" s="34" t="s">
        <v>13</v>
      </c>
      <c r="C17" s="29">
        <f t="shared" si="1"/>
        <v>221.70491076377343</v>
      </c>
      <c r="D17" s="30">
        <f t="shared" si="2"/>
        <v>90.21</v>
      </c>
      <c r="E17" s="44">
        <v>20000</v>
      </c>
      <c r="F17" s="34">
        <v>22345</v>
      </c>
      <c r="H17" s="28"/>
      <c r="K17" s="65"/>
      <c r="L17" s="63"/>
      <c r="M17" s="63"/>
      <c r="N17" s="63"/>
      <c r="O17" s="63"/>
      <c r="P17" s="63"/>
      <c r="Q17" s="63"/>
    </row>
    <row r="18" spans="1:17">
      <c r="A18" s="33" t="s">
        <v>34</v>
      </c>
      <c r="B18" s="34" t="s">
        <v>13</v>
      </c>
      <c r="C18" s="29">
        <f t="shared" si="1"/>
        <v>376.89990023279017</v>
      </c>
      <c r="D18" s="30">
        <f t="shared" si="2"/>
        <v>90.21</v>
      </c>
      <c r="E18" s="44">
        <v>34000.14</v>
      </c>
      <c r="F18" s="34">
        <v>22346</v>
      </c>
      <c r="H18" s="68"/>
      <c r="I18" s="68"/>
      <c r="J18" s="68"/>
      <c r="K18" s="69"/>
      <c r="L18" s="69"/>
      <c r="M18" s="69"/>
      <c r="N18" s="63"/>
      <c r="O18" s="63"/>
      <c r="P18" s="63"/>
      <c r="Q18" s="63"/>
    </row>
    <row r="19" spans="1:17">
      <c r="A19" s="33" t="s">
        <v>35</v>
      </c>
      <c r="B19" s="34" t="s">
        <v>13</v>
      </c>
      <c r="C19" s="29">
        <f t="shared" si="1"/>
        <v>47.389978938033479</v>
      </c>
      <c r="D19" s="30">
        <f t="shared" si="2"/>
        <v>90.21</v>
      </c>
      <c r="E19" s="44">
        <v>4275.05</v>
      </c>
      <c r="F19" s="39">
        <v>22348</v>
      </c>
      <c r="H19" s="68"/>
      <c r="I19" s="68"/>
      <c r="J19" s="68"/>
      <c r="K19" s="70"/>
      <c r="L19" s="69"/>
      <c r="M19" s="70"/>
      <c r="N19" s="63"/>
      <c r="O19" s="63"/>
      <c r="P19" s="63"/>
      <c r="Q19" s="63"/>
    </row>
    <row r="20" spans="1:17">
      <c r="A20" s="33" t="s">
        <v>35</v>
      </c>
      <c r="B20" s="34" t="s">
        <v>13</v>
      </c>
      <c r="C20" s="29">
        <f t="shared" si="1"/>
        <v>33.259949007870524</v>
      </c>
      <c r="D20" s="30">
        <f t="shared" si="2"/>
        <v>90.21</v>
      </c>
      <c r="E20" s="44">
        <v>3000.38</v>
      </c>
      <c r="F20" s="30">
        <v>22351</v>
      </c>
      <c r="H20" s="68"/>
      <c r="I20" s="68"/>
      <c r="J20" s="68"/>
      <c r="K20" s="70"/>
      <c r="L20" s="69"/>
      <c r="M20" s="69"/>
      <c r="N20" s="63"/>
      <c r="O20" s="63"/>
      <c r="P20" s="63"/>
      <c r="Q20" s="63"/>
    </row>
    <row r="21" spans="1:17">
      <c r="A21" s="33" t="s">
        <v>35</v>
      </c>
      <c r="B21" s="34" t="s">
        <v>13</v>
      </c>
      <c r="C21" s="29">
        <f t="shared" si="1"/>
        <v>53.079924620330345</v>
      </c>
      <c r="D21" s="30">
        <f t="shared" si="2"/>
        <v>90.21</v>
      </c>
      <c r="E21" s="44">
        <v>4788.34</v>
      </c>
      <c r="F21" s="35">
        <v>22352</v>
      </c>
      <c r="H21" s="71"/>
      <c r="I21" s="68"/>
      <c r="J21" s="68"/>
      <c r="K21" s="70"/>
      <c r="L21" s="69"/>
      <c r="M21" s="70"/>
      <c r="N21" s="63"/>
      <c r="O21" s="63"/>
      <c r="P21" s="63"/>
      <c r="Q21" s="63"/>
    </row>
    <row r="22" spans="1:17">
      <c r="A22" s="33" t="s">
        <v>36</v>
      </c>
      <c r="B22" s="34" t="s">
        <v>13</v>
      </c>
      <c r="C22" s="29">
        <f t="shared" si="1"/>
        <v>39.909987806229914</v>
      </c>
      <c r="D22" s="30">
        <f t="shared" si="2"/>
        <v>90.21</v>
      </c>
      <c r="E22" s="44">
        <v>3600.28</v>
      </c>
      <c r="F22" s="30">
        <v>22353</v>
      </c>
      <c r="H22" s="68"/>
      <c r="I22" s="68"/>
      <c r="J22" s="68"/>
      <c r="K22" s="69"/>
      <c r="L22" s="69"/>
      <c r="M22" s="69"/>
      <c r="N22" s="63"/>
      <c r="O22" s="63"/>
      <c r="P22" s="63"/>
      <c r="Q22" s="63"/>
    </row>
    <row r="23" spans="1:1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3"/>
      <c r="O23" s="63"/>
      <c r="P23" s="63"/>
      <c r="Q23" s="63"/>
    </row>
    <row r="24" spans="1:1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3"/>
      <c r="O24" s="63"/>
      <c r="P24" s="63"/>
      <c r="Q24" s="63"/>
    </row>
    <row r="25" spans="1:1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3"/>
      <c r="O25" s="63"/>
      <c r="P25" s="63"/>
      <c r="Q25" s="63"/>
    </row>
    <row r="26" spans="1:17">
      <c r="A26" s="30"/>
      <c r="B26" s="30"/>
      <c r="C26" s="29">
        <f>SUM(C15:C25)</f>
        <v>1007.2985256623434</v>
      </c>
      <c r="D26" s="29"/>
      <c r="E26" s="29">
        <f>SUM(E15:E25)</f>
        <v>90868.400000000009</v>
      </c>
      <c r="F26" s="30"/>
      <c r="H26" s="68"/>
      <c r="I26" s="68"/>
      <c r="J26" s="68"/>
      <c r="K26" s="69"/>
      <c r="L26" s="69"/>
      <c r="M26" s="69"/>
      <c r="N26" s="63"/>
      <c r="O26" s="63"/>
      <c r="P26" s="63"/>
      <c r="Q26" s="63"/>
    </row>
    <row r="27" spans="1:17">
      <c r="H27" s="68"/>
      <c r="I27" s="68"/>
      <c r="J27" s="68"/>
      <c r="K27" s="69"/>
      <c r="L27" s="69"/>
      <c r="M27" s="69"/>
      <c r="N27" s="63"/>
      <c r="O27" s="63"/>
      <c r="P27" s="63"/>
      <c r="Q27" s="63"/>
    </row>
    <row r="28" spans="1:17">
      <c r="H28" s="68"/>
      <c r="I28" s="68"/>
      <c r="J28" s="68"/>
      <c r="K28" s="69"/>
      <c r="L28" s="69"/>
      <c r="M28" s="69"/>
      <c r="N28" s="63"/>
      <c r="O28" s="63"/>
      <c r="P28" s="63"/>
      <c r="Q28" s="63"/>
    </row>
    <row r="29" spans="1:17">
      <c r="H29" s="68"/>
      <c r="I29" s="68"/>
      <c r="J29" s="68"/>
      <c r="K29" s="69"/>
      <c r="L29" s="69"/>
      <c r="M29" s="69"/>
      <c r="N29" s="63"/>
      <c r="O29" s="63"/>
      <c r="P29" s="63"/>
      <c r="Q29" s="63"/>
    </row>
    <row r="30" spans="1:17">
      <c r="H30" s="68"/>
      <c r="I30" s="68"/>
      <c r="J30" s="68"/>
      <c r="K30" s="69"/>
      <c r="L30" s="69"/>
      <c r="M30" s="69"/>
      <c r="N30" s="63"/>
      <c r="O30" s="63"/>
      <c r="P30" s="63"/>
      <c r="Q30" s="63"/>
    </row>
    <row r="31" spans="1:17">
      <c r="H31" s="68"/>
      <c r="I31" s="68"/>
      <c r="J31" s="68"/>
      <c r="K31" s="69"/>
      <c r="L31" s="69"/>
      <c r="M31" s="69"/>
      <c r="N31" s="63"/>
      <c r="O31" s="63"/>
      <c r="P31" s="63"/>
      <c r="Q31" s="63"/>
    </row>
    <row r="32" spans="1:17">
      <c r="C32">
        <f>+C15+C16</f>
        <v>235.0538742933156</v>
      </c>
      <c r="K32" s="63"/>
      <c r="L32" s="63"/>
      <c r="M32" s="63"/>
      <c r="N32" s="63"/>
      <c r="O32" s="63"/>
      <c r="P32" s="63"/>
      <c r="Q32" s="63"/>
    </row>
    <row r="33" spans="8:17">
      <c r="K33" s="63"/>
      <c r="L33" s="63"/>
      <c r="M33" s="63"/>
      <c r="N33" s="63"/>
      <c r="O33" s="63"/>
      <c r="P33" s="63"/>
      <c r="Q33" s="63"/>
    </row>
    <row r="34" spans="8:17">
      <c r="K34" s="63"/>
      <c r="L34" s="63"/>
      <c r="M34" s="63"/>
      <c r="N34" s="63"/>
      <c r="O34" s="63"/>
      <c r="P34" s="63"/>
      <c r="Q34" s="63"/>
    </row>
    <row r="35" spans="8:17">
      <c r="H35" t="s">
        <v>32</v>
      </c>
      <c r="K35" s="63"/>
      <c r="L35" s="63"/>
      <c r="M35" s="63"/>
      <c r="N35" s="63"/>
      <c r="O35" s="63"/>
      <c r="P35" s="63"/>
      <c r="Q35" s="63"/>
    </row>
    <row r="36" spans="8:17">
      <c r="K36" s="63"/>
      <c r="L36" s="63"/>
      <c r="M36" s="63"/>
      <c r="N36" s="63"/>
      <c r="O36" s="63"/>
      <c r="P36" s="63"/>
      <c r="Q36" s="63"/>
    </row>
    <row r="37" spans="8:17">
      <c r="K37" s="63"/>
      <c r="L37" s="63"/>
      <c r="M37" s="63"/>
      <c r="N37" s="63"/>
      <c r="O37" s="63"/>
      <c r="P37" s="63"/>
      <c r="Q37" s="63"/>
    </row>
    <row r="38" spans="8:17">
      <c r="K38" s="63"/>
      <c r="L38" s="63"/>
      <c r="M38" s="63"/>
      <c r="N38" s="63"/>
      <c r="O38" s="63"/>
      <c r="P38" s="63"/>
      <c r="Q38" s="63"/>
    </row>
    <row r="39" spans="8:17">
      <c r="K39" s="63"/>
      <c r="L39" s="63"/>
      <c r="M39" s="63"/>
      <c r="N39" s="63"/>
      <c r="O39" s="63"/>
      <c r="P39" s="63"/>
      <c r="Q39" s="63"/>
    </row>
    <row r="40" spans="8:17">
      <c r="K40" s="63"/>
      <c r="L40" s="63"/>
      <c r="M40" s="63"/>
      <c r="N40" s="63"/>
      <c r="O40" s="63"/>
      <c r="P40" s="63"/>
      <c r="Q40" s="63"/>
    </row>
    <row r="41" spans="8:17">
      <c r="K41" s="63"/>
      <c r="L41" s="63"/>
      <c r="M41" s="63"/>
      <c r="N41" s="63"/>
      <c r="O41" s="63"/>
      <c r="P41" s="63"/>
      <c r="Q41" s="63"/>
    </row>
    <row r="42" spans="8:17">
      <c r="K42" s="63"/>
      <c r="L42" s="63"/>
      <c r="M42" s="63"/>
      <c r="N42" s="63"/>
      <c r="O42" s="63"/>
      <c r="P42" s="63"/>
      <c r="Q42" s="63"/>
    </row>
    <row r="43" spans="8:17">
      <c r="K43" s="63"/>
      <c r="L43" s="63"/>
      <c r="M43" s="63"/>
      <c r="N43" s="63"/>
      <c r="O43" s="63"/>
      <c r="P43" s="63"/>
      <c r="Q43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0"/>
  <sheetViews>
    <sheetView workbookViewId="0">
      <selection activeCell="A4" sqref="A4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776.51324686841826</v>
      </c>
    </row>
    <row r="4" spans="1:24" s="2" customFormat="1">
      <c r="A4" s="3" t="s">
        <v>14</v>
      </c>
      <c r="B4" s="12">
        <f>+(H13+H14+H15)/$C$4</f>
        <v>1823.4860089771753</v>
      </c>
      <c r="C4" s="4">
        <v>104.71</v>
      </c>
      <c r="D4" s="5">
        <f>B4*C4</f>
        <v>190937.22</v>
      </c>
      <c r="E4" s="6">
        <v>0</v>
      </c>
      <c r="F4" s="7">
        <f>+E4*C4</f>
        <v>0</v>
      </c>
      <c r="G4" s="9">
        <f>+(H8*60%)/$C$4</f>
        <v>362.49913093305321</v>
      </c>
      <c r="H4" s="7">
        <f>+G4*C4</f>
        <v>37957.284</v>
      </c>
      <c r="I4" s="6">
        <f>J4/C4</f>
        <v>0</v>
      </c>
      <c r="J4" s="7">
        <v>0</v>
      </c>
      <c r="K4" s="8">
        <f>+L8/$C$4</f>
        <v>24.760863336835069</v>
      </c>
      <c r="L4" s="7">
        <f>+K4*C4</f>
        <v>2592.71</v>
      </c>
      <c r="M4" s="9">
        <f>+(N8*60%)/$C$4</f>
        <v>685.9085283163023</v>
      </c>
      <c r="N4" s="7">
        <f>+M4*C4</f>
        <v>71821.482000000004</v>
      </c>
      <c r="O4" s="9"/>
      <c r="P4" s="7">
        <f>+O4*C4</f>
        <v>0</v>
      </c>
      <c r="Q4" s="6">
        <v>750.31748639098475</v>
      </c>
      <c r="R4" s="7">
        <f>+Q4*C4</f>
        <v>78565.744000000006</v>
      </c>
      <c r="S4" s="10">
        <f>+X4</f>
        <v>0</v>
      </c>
      <c r="T4" s="7">
        <f>+S4*C4</f>
        <v>0</v>
      </c>
      <c r="U4" s="11">
        <f>+B4-E4-G4-Q4-S4-K4-I4-M4-O4</f>
        <v>-1.1368683772161603E-13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1987.9998891475445</v>
      </c>
      <c r="C5" s="4">
        <v>90.21</v>
      </c>
      <c r="D5" s="5">
        <f>B5*C5</f>
        <v>179337.46999999997</v>
      </c>
      <c r="E5" s="6">
        <v>0</v>
      </c>
      <c r="F5" s="7">
        <f>+E5*C5</f>
        <v>0</v>
      </c>
      <c r="G5" s="6">
        <f>+(H8*40%)/$C$5</f>
        <v>280.51054206850682</v>
      </c>
      <c r="H5" s="7">
        <f>+G5*C5</f>
        <v>25304.856</v>
      </c>
      <c r="I5" s="6">
        <f>+J8/C5</f>
        <v>49.88360492184902</v>
      </c>
      <c r="J5" s="7">
        <f>+I5*C5</f>
        <v>4500</v>
      </c>
      <c r="K5" s="6">
        <v>0</v>
      </c>
      <c r="L5" s="7">
        <f>+K5*C5</f>
        <v>0</v>
      </c>
      <c r="M5" s="6">
        <f>+(N8*40%)/$C$5</f>
        <v>530.77250859106539</v>
      </c>
      <c r="N5" s="7">
        <f>+M5*C5</f>
        <v>47880.988000000005</v>
      </c>
      <c r="O5" s="9">
        <f>+P8/C5</f>
        <v>0</v>
      </c>
      <c r="P5" s="7">
        <f>+O5*C5</f>
        <v>0</v>
      </c>
      <c r="Q5" s="6">
        <v>350.31998669770508</v>
      </c>
      <c r="R5" s="7">
        <f>+Q5*C5</f>
        <v>31602.365999999973</v>
      </c>
      <c r="S5" s="10">
        <f>+X3</f>
        <v>776.51324686841826</v>
      </c>
      <c r="T5" s="7">
        <f>+S5*C5</f>
        <v>70049.260000000009</v>
      </c>
      <c r="U5" s="11">
        <f>+B5-E5-G5-Q5-S5-K5-I5-M5-O5</f>
        <v>1.1368683772161603E-13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7.9399822695035462</v>
      </c>
      <c r="C6" s="4">
        <v>112.8</v>
      </c>
      <c r="D6" s="5">
        <f>B6*C6</f>
        <v>895.63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7.9399822695035462</v>
      </c>
      <c r="R6" s="7">
        <f>+Q6*C6</f>
        <v>895.63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3819.4258803942234</v>
      </c>
      <c r="C7" s="3"/>
      <c r="D7" s="13">
        <f t="shared" ref="D7:T7" si="0">SUM(D4:D6)</f>
        <v>371170.31999999995</v>
      </c>
      <c r="E7" s="14">
        <f t="shared" si="0"/>
        <v>0</v>
      </c>
      <c r="F7" s="15">
        <f t="shared" si="0"/>
        <v>0</v>
      </c>
      <c r="G7" s="14">
        <f t="shared" si="0"/>
        <v>643.00967300156003</v>
      </c>
      <c r="H7" s="15">
        <f t="shared" si="0"/>
        <v>63262.14</v>
      </c>
      <c r="I7" s="14">
        <f t="shared" si="0"/>
        <v>49.88360492184902</v>
      </c>
      <c r="J7" s="15">
        <f t="shared" si="0"/>
        <v>4500</v>
      </c>
      <c r="K7" s="14">
        <f t="shared" si="0"/>
        <v>24.760863336835069</v>
      </c>
      <c r="L7" s="15">
        <f t="shared" si="0"/>
        <v>2592.71</v>
      </c>
      <c r="M7" s="14">
        <f t="shared" si="0"/>
        <v>1216.6810369073678</v>
      </c>
      <c r="N7" s="15">
        <f t="shared" si="0"/>
        <v>119702.47</v>
      </c>
      <c r="O7" s="14">
        <f t="shared" si="0"/>
        <v>0</v>
      </c>
      <c r="P7" s="15">
        <f t="shared" si="0"/>
        <v>0</v>
      </c>
      <c r="Q7" s="14">
        <f t="shared" si="0"/>
        <v>1108.5774553581934</v>
      </c>
      <c r="R7" s="15">
        <f t="shared" si="0"/>
        <v>111063.73999999999</v>
      </c>
      <c r="S7" s="14">
        <f t="shared" si="0"/>
        <v>776.51324686841826</v>
      </c>
      <c r="T7" s="15">
        <f t="shared" si="0"/>
        <v>70049.260000000009</v>
      </c>
      <c r="U7" s="11">
        <f>+B7-E7-G7-Q7-S7-K7-I7-M7-O7</f>
        <v>4.5474735088646412E-13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63262.14</v>
      </c>
      <c r="I8" s="18"/>
      <c r="J8" s="19">
        <v>4500</v>
      </c>
      <c r="K8" s="18"/>
      <c r="L8" s="19">
        <v>2592.71</v>
      </c>
      <c r="M8" s="20"/>
      <c r="N8" s="19">
        <v>119702.47</v>
      </c>
      <c r="O8" s="20" t="s">
        <v>19</v>
      </c>
      <c r="P8" s="19">
        <v>0</v>
      </c>
      <c r="Q8" s="18">
        <v>0</v>
      </c>
      <c r="R8" s="19">
        <v>109081</v>
      </c>
      <c r="S8" s="18"/>
      <c r="T8" s="19">
        <v>72050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1982.7399999999907</v>
      </c>
      <c r="S9" s="21"/>
      <c r="T9" s="22">
        <f>+T7-T8</f>
        <v>-2000.7399999999907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-18.000000000087311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84284.22</v>
      </c>
      <c r="I13" s="36">
        <v>39492.129999999997</v>
      </c>
      <c r="J13" s="30">
        <v>895.63</v>
      </c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106653</v>
      </c>
      <c r="I14" s="36">
        <v>70859.05</v>
      </c>
      <c r="J14" s="60"/>
      <c r="K14" s="74"/>
      <c r="L14" s="74"/>
      <c r="M14" s="74"/>
    </row>
    <row r="15" spans="1:24">
      <c r="A15" s="33" t="s">
        <v>33</v>
      </c>
      <c r="B15" s="34" t="s">
        <v>13</v>
      </c>
      <c r="C15" s="29">
        <f t="shared" ref="C15:C25" si="1">+E15/D15</f>
        <v>248.52998558918082</v>
      </c>
      <c r="D15" s="30">
        <f t="shared" ref="D15:D25" si="2">+VLOOKUP(B15,A$4:C$6,3,0)</f>
        <v>90.21</v>
      </c>
      <c r="E15" s="42">
        <v>22419.89</v>
      </c>
      <c r="F15" s="34">
        <v>22354</v>
      </c>
      <c r="H15" s="36"/>
      <c r="I15" s="36">
        <v>68986.289999999994</v>
      </c>
      <c r="J15" s="61"/>
      <c r="K15" s="70"/>
      <c r="L15" s="69"/>
      <c r="M15" s="69"/>
      <c r="V15">
        <f>2123+9236+3417.23+18069.1</f>
        <v>32845.33</v>
      </c>
    </row>
    <row r="16" spans="1:24">
      <c r="A16" s="33" t="s">
        <v>34</v>
      </c>
      <c r="B16" s="34" t="s">
        <v>13</v>
      </c>
      <c r="C16" s="29">
        <f t="shared" si="1"/>
        <v>489.17991353508484</v>
      </c>
      <c r="D16" s="30">
        <f t="shared" si="2"/>
        <v>90.21</v>
      </c>
      <c r="E16" s="42">
        <v>44128.92</v>
      </c>
      <c r="F16" s="34">
        <v>22356</v>
      </c>
      <c r="H16" s="30">
        <f>+H24/C4</f>
        <v>0</v>
      </c>
      <c r="I16" s="43">
        <f>+I24/C5</f>
        <v>0</v>
      </c>
      <c r="J16" s="62">
        <f>+J24/C6</f>
        <v>0</v>
      </c>
      <c r="K16" s="70"/>
      <c r="L16" s="69"/>
      <c r="M16" s="70"/>
    </row>
    <row r="17" spans="1:13">
      <c r="A17" s="33" t="s">
        <v>37</v>
      </c>
      <c r="B17" s="34" t="s">
        <v>13</v>
      </c>
      <c r="C17" s="29">
        <f t="shared" si="1"/>
        <v>38.803347744152532</v>
      </c>
      <c r="D17" s="30">
        <f t="shared" si="2"/>
        <v>90.21</v>
      </c>
      <c r="E17" s="44">
        <v>3500.45</v>
      </c>
      <c r="F17" s="34">
        <v>22360</v>
      </c>
      <c r="H17" s="28"/>
      <c r="K17" s="70"/>
      <c r="L17" s="69"/>
      <c r="M17" s="69"/>
    </row>
    <row r="18" spans="1:13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9"/>
      <c r="L18" s="69"/>
      <c r="M18" s="69"/>
    </row>
    <row r="19" spans="1:13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70"/>
      <c r="L19" s="69"/>
      <c r="M19" s="70"/>
    </row>
    <row r="20" spans="1:13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70"/>
      <c r="L20" s="69"/>
      <c r="M20" s="69"/>
    </row>
    <row r="21" spans="1:13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70"/>
      <c r="L21" s="69"/>
      <c r="M21" s="70"/>
    </row>
    <row r="22" spans="1:13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9"/>
      <c r="L22" s="69"/>
      <c r="M22" s="69"/>
    </row>
    <row r="23" spans="1:13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9"/>
      <c r="L23" s="69"/>
      <c r="M23" s="69"/>
    </row>
    <row r="24" spans="1:13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9"/>
      <c r="L24" s="69"/>
      <c r="M24" s="69"/>
    </row>
    <row r="25" spans="1:13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9"/>
      <c r="L25" s="69"/>
      <c r="M25" s="69"/>
    </row>
    <row r="26" spans="1:13">
      <c r="A26" s="30"/>
      <c r="B26" s="30"/>
      <c r="C26" s="29">
        <f>SUM(C15:C25)</f>
        <v>776.51324686841826</v>
      </c>
      <c r="D26" s="29"/>
      <c r="E26" s="29">
        <f>SUM(E15:E25)</f>
        <v>70049.259999999995</v>
      </c>
      <c r="F26" s="30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0"/>
  <sheetViews>
    <sheetView workbookViewId="0">
      <selection activeCell="A4" sqref="A4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983.93038465802022</v>
      </c>
    </row>
    <row r="4" spans="1:24" s="2" customFormat="1">
      <c r="A4" s="3" t="s">
        <v>14</v>
      </c>
      <c r="B4" s="12">
        <f>+(H13+H14+H15)/$C$4</f>
        <v>1540.5691910992266</v>
      </c>
      <c r="C4" s="4">
        <v>104.71</v>
      </c>
      <c r="D4" s="5">
        <f>B4*C4</f>
        <v>161313</v>
      </c>
      <c r="E4" s="6">
        <v>0</v>
      </c>
      <c r="F4" s="7">
        <f>+E4*C4</f>
        <v>0</v>
      </c>
      <c r="G4" s="9">
        <f>+(H8*60%)/$C$4</f>
        <v>452.59390698118608</v>
      </c>
      <c r="H4" s="7">
        <f>+G4*C4</f>
        <v>47391.107999999993</v>
      </c>
      <c r="I4" s="6">
        <f>J4/C4</f>
        <v>0</v>
      </c>
      <c r="J4" s="7">
        <v>0</v>
      </c>
      <c r="K4" s="8">
        <f>+L8/$C$4</f>
        <v>47.28297201795435</v>
      </c>
      <c r="L4" s="7">
        <f>+K4*C4</f>
        <v>4951</v>
      </c>
      <c r="M4" s="9">
        <f>+(N8*60%)/$C$4</f>
        <v>426.92650176678444</v>
      </c>
      <c r="N4" s="7">
        <f>+M4*C4</f>
        <v>44703.473999999995</v>
      </c>
      <c r="O4" s="9"/>
      <c r="P4" s="7">
        <f>+O4*C4</f>
        <v>0</v>
      </c>
      <c r="Q4" s="6">
        <v>613.76581033330172</v>
      </c>
      <c r="R4" s="7">
        <f>+Q4*C4</f>
        <v>64267.41800000002</v>
      </c>
      <c r="S4" s="10">
        <f>+X4</f>
        <v>0</v>
      </c>
      <c r="T4" s="7">
        <f>+S4*C4</f>
        <v>0</v>
      </c>
      <c r="U4" s="11">
        <f>+B4-E4-G4-Q4-S4-K4-I4-M4-O4</f>
        <v>-5.6843418860808015E-14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2155.9694047223147</v>
      </c>
      <c r="C5" s="4">
        <v>90.21</v>
      </c>
      <c r="D5" s="5">
        <f>B5*C5</f>
        <v>194490</v>
      </c>
      <c r="E5" s="6">
        <v>0</v>
      </c>
      <c r="F5" s="7">
        <f>+E5*C5</f>
        <v>0</v>
      </c>
      <c r="G5" s="6">
        <f>+(H8*40%)/$C$5</f>
        <v>350.22804567121165</v>
      </c>
      <c r="H5" s="7">
        <f>+G5*C5</f>
        <v>31594.072</v>
      </c>
      <c r="I5" s="6">
        <f>+J8/C5</f>
        <v>52.100654029486755</v>
      </c>
      <c r="J5" s="7">
        <f>+I5*C5</f>
        <v>4700</v>
      </c>
      <c r="K5" s="6">
        <v>0</v>
      </c>
      <c r="L5" s="7">
        <f>+K5*C5</f>
        <v>0</v>
      </c>
      <c r="M5" s="6">
        <f>+(N8*40%)/$C$5</f>
        <v>330.36599046668886</v>
      </c>
      <c r="N5" s="7">
        <f>+M5*C5</f>
        <v>29802.315999999999</v>
      </c>
      <c r="O5" s="9">
        <f>+P8/C5</f>
        <v>0</v>
      </c>
      <c r="P5" s="7">
        <f>+O5*C5</f>
        <v>0</v>
      </c>
      <c r="Q5" s="6">
        <v>439.34432989690714</v>
      </c>
      <c r="R5" s="7">
        <f>+Q5*C5</f>
        <v>39633.251999999993</v>
      </c>
      <c r="S5" s="10">
        <f>+X3</f>
        <v>983.93038465802022</v>
      </c>
      <c r="T5" s="7">
        <f>+S5*C5</f>
        <v>88760.36</v>
      </c>
      <c r="U5" s="11">
        <f>+B5-E5-G5-Q5-S5-K5-I5-M5-O5</f>
        <v>1.1368683772161603E-13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77.916666666666671</v>
      </c>
      <c r="C6" s="4">
        <v>112.8</v>
      </c>
      <c r="D6" s="5">
        <f>B6*C6</f>
        <v>8789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77.916666666666671</v>
      </c>
      <c r="R6" s="7">
        <f>+Q6*C6</f>
        <v>8789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3774.4552624882076</v>
      </c>
      <c r="C7" s="3"/>
      <c r="D7" s="13">
        <f t="shared" ref="D7:T7" si="0">SUM(D4:D6)</f>
        <v>364592</v>
      </c>
      <c r="E7" s="14">
        <f t="shared" si="0"/>
        <v>0</v>
      </c>
      <c r="F7" s="15">
        <f t="shared" si="0"/>
        <v>0</v>
      </c>
      <c r="G7" s="14">
        <f t="shared" si="0"/>
        <v>802.82195265239773</v>
      </c>
      <c r="H7" s="15">
        <f t="shared" si="0"/>
        <v>78985.179999999993</v>
      </c>
      <c r="I7" s="14">
        <f t="shared" si="0"/>
        <v>52.100654029486755</v>
      </c>
      <c r="J7" s="15">
        <f t="shared" si="0"/>
        <v>4700</v>
      </c>
      <c r="K7" s="14">
        <f t="shared" si="0"/>
        <v>47.28297201795435</v>
      </c>
      <c r="L7" s="15">
        <f t="shared" si="0"/>
        <v>4951</v>
      </c>
      <c r="M7" s="14">
        <f t="shared" si="0"/>
        <v>757.29249223347324</v>
      </c>
      <c r="N7" s="15">
        <f t="shared" si="0"/>
        <v>74505.789999999994</v>
      </c>
      <c r="O7" s="14">
        <f t="shared" si="0"/>
        <v>0</v>
      </c>
      <c r="P7" s="15">
        <f t="shared" si="0"/>
        <v>0</v>
      </c>
      <c r="Q7" s="14">
        <f t="shared" si="0"/>
        <v>1131.0268068968755</v>
      </c>
      <c r="R7" s="15">
        <f t="shared" si="0"/>
        <v>112689.67000000001</v>
      </c>
      <c r="S7" s="14">
        <f t="shared" si="0"/>
        <v>983.93038465802022</v>
      </c>
      <c r="T7" s="15">
        <f t="shared" si="0"/>
        <v>88760.36</v>
      </c>
      <c r="U7" s="11">
        <f>+B7-E7-G7-Q7-S7-K7-I7-M7-O7</f>
        <v>-1.1368683772161603E-13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78985.179999999993</v>
      </c>
      <c r="I8" s="18"/>
      <c r="J8" s="19">
        <v>4700</v>
      </c>
      <c r="K8" s="18"/>
      <c r="L8" s="19">
        <v>4951</v>
      </c>
      <c r="M8" s="20"/>
      <c r="N8" s="19">
        <v>74505.789999999994</v>
      </c>
      <c r="O8" s="20" t="s">
        <v>19</v>
      </c>
      <c r="P8" s="19">
        <v>0</v>
      </c>
      <c r="Q8" s="18">
        <v>0</v>
      </c>
      <c r="R8" s="19">
        <v>102184</v>
      </c>
      <c r="S8" s="18"/>
      <c r="T8" s="19">
        <v>99260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10505.670000000013</v>
      </c>
      <c r="S9" s="21"/>
      <c r="T9" s="22">
        <f>+T7-T8</f>
        <v>-10499.64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6.0300000000133878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78047</v>
      </c>
      <c r="I13" s="36">
        <v>78705</v>
      </c>
      <c r="J13" s="60">
        <v>8789</v>
      </c>
      <c r="K13" s="63"/>
      <c r="L13" s="63"/>
      <c r="M13" s="63"/>
      <c r="N13" s="63"/>
      <c r="O13" s="63"/>
      <c r="P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83266</v>
      </c>
      <c r="I14" s="36">
        <v>33323</v>
      </c>
      <c r="J14" s="60"/>
      <c r="K14" s="64"/>
      <c r="L14" s="64"/>
      <c r="M14" s="64"/>
      <c r="N14" s="63"/>
      <c r="O14" s="63"/>
      <c r="P14" s="63"/>
    </row>
    <row r="15" spans="1:24">
      <c r="A15" s="33" t="s">
        <v>30</v>
      </c>
      <c r="B15" s="34" t="s">
        <v>13</v>
      </c>
      <c r="C15" s="29">
        <f t="shared" ref="C15:C25" si="1">+E15/D15</f>
        <v>235.15009422458709</v>
      </c>
      <c r="D15" s="30">
        <f t="shared" ref="D15:D25" si="2">+VLOOKUP(B15,A$4:C$6,3,0)</f>
        <v>90.21</v>
      </c>
      <c r="E15" s="42">
        <v>21212.89</v>
      </c>
      <c r="F15" s="34">
        <v>22363</v>
      </c>
      <c r="H15" s="36"/>
      <c r="I15" s="36">
        <v>82462</v>
      </c>
      <c r="J15" s="61"/>
      <c r="K15" s="65"/>
      <c r="L15" s="63"/>
      <c r="M15" s="63"/>
      <c r="N15" s="63"/>
      <c r="O15" s="63"/>
      <c r="P15" s="63"/>
      <c r="V15">
        <f>2123+9236+3417.23+18069.1</f>
        <v>32845.33</v>
      </c>
    </row>
    <row r="16" spans="1:24">
      <c r="A16" s="33" t="s">
        <v>33</v>
      </c>
      <c r="B16" s="34" t="s">
        <v>13</v>
      </c>
      <c r="C16" s="29">
        <f t="shared" si="1"/>
        <v>322.19997782950895</v>
      </c>
      <c r="D16" s="30">
        <f t="shared" si="2"/>
        <v>90.21</v>
      </c>
      <c r="E16" s="42">
        <v>29065.66</v>
      </c>
      <c r="F16" s="34">
        <v>22364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</row>
    <row r="17" spans="1:16">
      <c r="A17" s="33" t="s">
        <v>34</v>
      </c>
      <c r="B17" s="34" t="s">
        <v>13</v>
      </c>
      <c r="C17" s="29">
        <f t="shared" si="1"/>
        <v>248.63995122491966</v>
      </c>
      <c r="D17" s="30">
        <f t="shared" si="2"/>
        <v>90.21</v>
      </c>
      <c r="E17" s="44">
        <v>22429.81</v>
      </c>
      <c r="F17" s="34">
        <v>22365</v>
      </c>
      <c r="H17" s="28"/>
      <c r="K17" s="65"/>
      <c r="L17" s="63"/>
      <c r="M17" s="63"/>
      <c r="N17" s="63"/>
      <c r="O17" s="63"/>
      <c r="P17" s="63"/>
    </row>
    <row r="18" spans="1:16">
      <c r="A18" s="33" t="s">
        <v>36</v>
      </c>
      <c r="B18" s="34" t="s">
        <v>13</v>
      </c>
      <c r="C18" s="29">
        <f t="shared" si="1"/>
        <v>38.82995233344419</v>
      </c>
      <c r="D18" s="30">
        <f t="shared" si="2"/>
        <v>90.21</v>
      </c>
      <c r="E18" s="44">
        <v>3502.85</v>
      </c>
      <c r="F18" s="34">
        <v>22366</v>
      </c>
      <c r="K18" s="63"/>
      <c r="L18" s="63"/>
      <c r="M18" s="63"/>
      <c r="N18" s="63"/>
      <c r="O18" s="63"/>
      <c r="P18" s="63"/>
    </row>
    <row r="19" spans="1:16">
      <c r="A19" s="33" t="s">
        <v>38</v>
      </c>
      <c r="B19" s="34" t="s">
        <v>13</v>
      </c>
      <c r="C19" s="29">
        <f t="shared" si="1"/>
        <v>101.98048996785279</v>
      </c>
      <c r="D19" s="30">
        <f t="shared" si="2"/>
        <v>90.21</v>
      </c>
      <c r="E19" s="44">
        <v>9199.66</v>
      </c>
      <c r="F19" s="39">
        <v>22367</v>
      </c>
      <c r="K19" s="66"/>
      <c r="L19" s="63"/>
      <c r="M19" s="65"/>
      <c r="N19" s="63"/>
      <c r="O19" s="63"/>
      <c r="P19" s="63"/>
    </row>
    <row r="20" spans="1:16">
      <c r="A20" s="33" t="s">
        <v>34</v>
      </c>
      <c r="B20" s="34" t="s">
        <v>13</v>
      </c>
      <c r="C20" s="29">
        <f t="shared" si="1"/>
        <v>37.129919077707569</v>
      </c>
      <c r="D20" s="30">
        <f t="shared" si="2"/>
        <v>90.21</v>
      </c>
      <c r="E20" s="44">
        <v>3349.49</v>
      </c>
      <c r="F20" s="30">
        <v>22368</v>
      </c>
      <c r="K20" s="65"/>
      <c r="L20" s="63"/>
      <c r="M20" s="67"/>
      <c r="N20" s="63"/>
      <c r="O20" s="63"/>
      <c r="P20" s="63"/>
    </row>
    <row r="21" spans="1:16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</row>
    <row r="22" spans="1:16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</row>
    <row r="23" spans="1:16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</row>
    <row r="24" spans="1:16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</row>
    <row r="25" spans="1:16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</row>
    <row r="26" spans="1:16">
      <c r="A26" s="30"/>
      <c r="B26" s="30"/>
      <c r="C26" s="29">
        <f>SUM(C15:C25)</f>
        <v>983.93038465802022</v>
      </c>
      <c r="D26" s="29"/>
      <c r="E26" s="29">
        <f>SUM(E15:E25)</f>
        <v>88760.360000000015</v>
      </c>
      <c r="F26" s="30"/>
      <c r="K26" s="63"/>
      <c r="L26" s="63"/>
      <c r="M26" s="63"/>
      <c r="N26" s="63"/>
      <c r="O26" s="63"/>
      <c r="P26" s="63"/>
    </row>
    <row r="27" spans="1:16">
      <c r="K27" s="63"/>
      <c r="L27" s="63"/>
      <c r="M27" s="63"/>
      <c r="N27" s="63"/>
      <c r="O27" s="63"/>
      <c r="P27" s="63"/>
    </row>
    <row r="28" spans="1:16">
      <c r="K28" s="63"/>
      <c r="L28" s="63"/>
      <c r="M28" s="63"/>
      <c r="N28" s="63"/>
      <c r="O28" s="63"/>
      <c r="P28" s="63"/>
    </row>
    <row r="29" spans="1:16">
      <c r="K29" s="63"/>
      <c r="L29" s="63"/>
      <c r="M29" s="63"/>
      <c r="N29" s="63"/>
      <c r="O29" s="63"/>
      <c r="P29" s="63"/>
    </row>
    <row r="30" spans="1:16">
      <c r="K30" s="63"/>
      <c r="L30" s="63"/>
      <c r="M30" s="63"/>
      <c r="N30" s="63"/>
      <c r="O30" s="63"/>
      <c r="P30" s="63"/>
    </row>
    <row r="31" spans="1:16">
      <c r="K31" s="63"/>
      <c r="L31" s="63"/>
      <c r="M31" s="63"/>
      <c r="N31" s="63"/>
      <c r="O31" s="63"/>
      <c r="P31" s="63"/>
    </row>
    <row r="32" spans="1:16">
      <c r="C32">
        <f>+C15+C16</f>
        <v>557.35007205409602</v>
      </c>
      <c r="K32" s="63"/>
      <c r="L32" s="63"/>
      <c r="M32" s="63"/>
      <c r="N32" s="63"/>
      <c r="O32" s="63"/>
      <c r="P32" s="63"/>
    </row>
    <row r="33" spans="11:16">
      <c r="K33" s="63"/>
      <c r="L33" s="63"/>
      <c r="M33" s="63"/>
      <c r="N33" s="63"/>
      <c r="O33" s="63"/>
      <c r="P33" s="63"/>
    </row>
    <row r="34" spans="11:16">
      <c r="K34" s="63"/>
      <c r="L34" s="63"/>
      <c r="M34" s="63"/>
      <c r="N34" s="63"/>
      <c r="O34" s="63"/>
      <c r="P34" s="63"/>
    </row>
    <row r="35" spans="11:16">
      <c r="K35" s="63"/>
      <c r="L35" s="63"/>
      <c r="M35" s="63"/>
      <c r="N35" s="63"/>
      <c r="O35" s="63"/>
      <c r="P35" s="63"/>
    </row>
    <row r="36" spans="11:16">
      <c r="K36" s="63"/>
      <c r="L36" s="63"/>
      <c r="M36" s="63"/>
      <c r="N36" s="63"/>
      <c r="O36" s="63"/>
      <c r="P36" s="63"/>
    </row>
    <row r="37" spans="11:16">
      <c r="K37" s="63"/>
      <c r="L37" s="63"/>
      <c r="M37" s="63"/>
      <c r="N37" s="63"/>
      <c r="O37" s="63"/>
      <c r="P37" s="63"/>
    </row>
    <row r="38" spans="11:16">
      <c r="K38" s="63"/>
      <c r="L38" s="63"/>
      <c r="M38" s="63"/>
      <c r="N38" s="63"/>
      <c r="O38" s="63"/>
      <c r="P38" s="63"/>
    </row>
    <row r="39" spans="11:16">
      <c r="K39" s="63"/>
      <c r="L39" s="63"/>
      <c r="M39" s="63"/>
      <c r="N39" s="63"/>
      <c r="O39" s="63"/>
      <c r="P39" s="63"/>
    </row>
    <row r="40" spans="11:16">
      <c r="K40" s="63"/>
      <c r="L40" s="63"/>
      <c r="M40" s="63"/>
      <c r="N40" s="63"/>
      <c r="O40" s="63"/>
      <c r="P40" s="63"/>
    </row>
    <row r="41" spans="11:16">
      <c r="K41" s="63"/>
      <c r="L41" s="63"/>
      <c r="M41" s="63"/>
      <c r="N41" s="63"/>
      <c r="O41" s="63"/>
      <c r="P41" s="63"/>
    </row>
    <row r="42" spans="11:16">
      <c r="K42" s="63"/>
      <c r="L42" s="63"/>
      <c r="M42" s="63"/>
      <c r="N42" s="63"/>
      <c r="O42" s="63"/>
      <c r="P42" s="63"/>
    </row>
    <row r="43" spans="11:16">
      <c r="K43" s="63"/>
      <c r="L43" s="63"/>
      <c r="M43" s="63"/>
      <c r="N43" s="63"/>
      <c r="O43" s="63"/>
      <c r="P43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0"/>
  <sheetViews>
    <sheetView workbookViewId="0">
      <selection activeCell="A2" sqref="A2:A3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798.81953220263824</v>
      </c>
    </row>
    <row r="4" spans="1:24" s="2" customFormat="1">
      <c r="A4" s="3" t="s">
        <v>14</v>
      </c>
      <c r="B4" s="12">
        <f>+(H13+H14+H15)/$C$4</f>
        <v>1419.0908222710343</v>
      </c>
      <c r="C4" s="4">
        <v>104.71</v>
      </c>
      <c r="D4" s="5">
        <f>B4*C4</f>
        <v>148593</v>
      </c>
      <c r="E4" s="6">
        <v>0</v>
      </c>
      <c r="F4" s="7">
        <f>+E4*C4</f>
        <v>0</v>
      </c>
      <c r="G4" s="9">
        <f>+(H8*60%)/$C$4</f>
        <v>261.90810810810814</v>
      </c>
      <c r="H4" s="7">
        <f>+G4*C4</f>
        <v>27424.398000000001</v>
      </c>
      <c r="I4" s="6">
        <f>J4/C4</f>
        <v>0</v>
      </c>
      <c r="J4" s="7">
        <v>0</v>
      </c>
      <c r="K4" s="8">
        <f>+L8/$C$4</f>
        <v>55.509024925986061</v>
      </c>
      <c r="L4" s="7">
        <f>+K4*C4</f>
        <v>5812.35</v>
      </c>
      <c r="M4" s="9">
        <f>+(N8*60%)/$C$4</f>
        <v>542.45489447044213</v>
      </c>
      <c r="N4" s="7">
        <f>+M4*C4</f>
        <v>56800.45199999999</v>
      </c>
      <c r="O4" s="9"/>
      <c r="P4" s="7">
        <f>+O4*C4</f>
        <v>0</v>
      </c>
      <c r="Q4" s="6">
        <v>559.21879476649804</v>
      </c>
      <c r="R4" s="7">
        <f>+Q4*C4</f>
        <v>58555.8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1645.1834608136571</v>
      </c>
      <c r="C5" s="4">
        <v>90.21</v>
      </c>
      <c r="D5" s="5">
        <f>B5*C5</f>
        <v>148412</v>
      </c>
      <c r="E5" s="6">
        <v>0</v>
      </c>
      <c r="F5" s="7">
        <f>+E5*C5</f>
        <v>0</v>
      </c>
      <c r="G5" s="6">
        <f>+(H8*40%)/$C$5</f>
        <v>202.6707903780069</v>
      </c>
      <c r="H5" s="7">
        <f>+G5*C5</f>
        <v>18282.932000000001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419.7646380667332</v>
      </c>
      <c r="N5" s="7">
        <f>+M5*C5</f>
        <v>37866.968000000001</v>
      </c>
      <c r="O5" s="9">
        <f>+P8/C5</f>
        <v>0</v>
      </c>
      <c r="P5" s="7">
        <f>+O5*C5</f>
        <v>0</v>
      </c>
      <c r="Q5" s="6">
        <v>223.92850016627887</v>
      </c>
      <c r="R5" s="7">
        <f>+Q5*C5</f>
        <v>20200.590000000015</v>
      </c>
      <c r="S5" s="10">
        <f>+X3</f>
        <v>798.81953220263824</v>
      </c>
      <c r="T5" s="7">
        <f>+S5*C5</f>
        <v>72061.509999999995</v>
      </c>
      <c r="U5" s="11">
        <f>+B5-E5-G5-Q5-S5-K5-I5-M5-O5</f>
        <v>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17.00354609929078</v>
      </c>
      <c r="C6" s="4">
        <v>112.8</v>
      </c>
      <c r="D6" s="5">
        <f>B6*C6</f>
        <v>1918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17.00354609929078</v>
      </c>
      <c r="R6" s="7">
        <f>+Q6*C6</f>
        <v>1918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3081.2778291839822</v>
      </c>
      <c r="C7" s="3"/>
      <c r="D7" s="13">
        <f t="shared" ref="D7:T7" si="0">SUM(D4:D6)</f>
        <v>298923</v>
      </c>
      <c r="E7" s="14">
        <f t="shared" si="0"/>
        <v>0</v>
      </c>
      <c r="F7" s="15">
        <f t="shared" si="0"/>
        <v>0</v>
      </c>
      <c r="G7" s="14">
        <f t="shared" si="0"/>
        <v>464.57889848611501</v>
      </c>
      <c r="H7" s="15">
        <f t="shared" si="0"/>
        <v>45707.33</v>
      </c>
      <c r="I7" s="14">
        <f t="shared" si="0"/>
        <v>0</v>
      </c>
      <c r="J7" s="15">
        <f t="shared" si="0"/>
        <v>0</v>
      </c>
      <c r="K7" s="14">
        <f t="shared" si="0"/>
        <v>55.509024925986061</v>
      </c>
      <c r="L7" s="15">
        <f t="shared" si="0"/>
        <v>5812.35</v>
      </c>
      <c r="M7" s="14">
        <f t="shared" si="0"/>
        <v>962.21953253717538</v>
      </c>
      <c r="N7" s="15">
        <f t="shared" si="0"/>
        <v>94667.419999999984</v>
      </c>
      <c r="O7" s="14">
        <f t="shared" si="0"/>
        <v>0</v>
      </c>
      <c r="P7" s="15">
        <f t="shared" si="0"/>
        <v>0</v>
      </c>
      <c r="Q7" s="14">
        <f t="shared" si="0"/>
        <v>800.15084103206777</v>
      </c>
      <c r="R7" s="15">
        <f t="shared" si="0"/>
        <v>80674.390000000014</v>
      </c>
      <c r="S7" s="14">
        <f t="shared" si="0"/>
        <v>798.81953220263824</v>
      </c>
      <c r="T7" s="15">
        <f t="shared" si="0"/>
        <v>72061.509999999995</v>
      </c>
      <c r="U7" s="11">
        <f>+B7-E7-G7-Q7-S7-K7-I7-M7-O7</f>
        <v>-3.4106051316484809E-13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45707.33</v>
      </c>
      <c r="I8" s="18"/>
      <c r="J8" s="19">
        <v>0</v>
      </c>
      <c r="K8" s="18"/>
      <c r="L8" s="19">
        <v>5812.35</v>
      </c>
      <c r="M8" s="20"/>
      <c r="N8" s="19">
        <v>94667.42</v>
      </c>
      <c r="O8" s="20" t="s">
        <v>19</v>
      </c>
      <c r="P8" s="19">
        <v>0</v>
      </c>
      <c r="Q8" s="18">
        <v>0</v>
      </c>
      <c r="R8" s="19">
        <v>75174</v>
      </c>
      <c r="S8" s="18"/>
      <c r="T8" s="19">
        <v>77561.509999999995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5500.390000000014</v>
      </c>
      <c r="S9" s="21"/>
      <c r="T9" s="22">
        <f>+T7-T8</f>
        <v>-5500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0.38999999998486601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59593</v>
      </c>
      <c r="I13" s="36">
        <v>48118</v>
      </c>
      <c r="J13" s="60">
        <v>1918</v>
      </c>
      <c r="K13" s="63"/>
      <c r="L13" s="63"/>
      <c r="M13" s="63"/>
      <c r="N13" s="63"/>
      <c r="O13" s="63"/>
      <c r="P13" s="63"/>
      <c r="Q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89000</v>
      </c>
      <c r="I14" s="36">
        <v>47430</v>
      </c>
      <c r="J14" s="60"/>
      <c r="K14" s="64"/>
      <c r="L14" s="64"/>
      <c r="M14" s="64"/>
      <c r="N14" s="63"/>
      <c r="O14" s="63"/>
      <c r="P14" s="63"/>
      <c r="Q14" s="63"/>
    </row>
    <row r="15" spans="1:24">
      <c r="A15" s="33" t="s">
        <v>33</v>
      </c>
      <c r="B15" s="34" t="s">
        <v>13</v>
      </c>
      <c r="C15" s="29">
        <f t="shared" ref="C15:C25" si="1">+E15/D15</f>
        <v>97.549939031149549</v>
      </c>
      <c r="D15" s="30">
        <f t="shared" ref="D15:D25" si="2">+VLOOKUP(B15,A$4:C$6,3,0)</f>
        <v>90.21</v>
      </c>
      <c r="E15" s="42">
        <v>8799.98</v>
      </c>
      <c r="F15" s="34">
        <v>22369</v>
      </c>
      <c r="H15" s="36"/>
      <c r="I15" s="36">
        <v>52864</v>
      </c>
      <c r="J15" s="61"/>
      <c r="K15" s="65"/>
      <c r="L15" s="63"/>
      <c r="M15" s="63"/>
      <c r="N15" s="63"/>
      <c r="O15" s="63"/>
      <c r="P15" s="63"/>
      <c r="Q15" s="63"/>
      <c r="V15">
        <f>2123+9236+3417.23+18069.1</f>
        <v>32845.33</v>
      </c>
    </row>
    <row r="16" spans="1:24">
      <c r="A16" s="33" t="s">
        <v>34</v>
      </c>
      <c r="B16" s="34" t="s">
        <v>13</v>
      </c>
      <c r="C16" s="29">
        <f t="shared" si="1"/>
        <v>477.76998115508258</v>
      </c>
      <c r="D16" s="30">
        <f t="shared" si="2"/>
        <v>90.21</v>
      </c>
      <c r="E16" s="42">
        <v>43099.63</v>
      </c>
      <c r="F16" s="34">
        <v>22370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</row>
    <row r="17" spans="1:17">
      <c r="A17" s="33" t="s">
        <v>39</v>
      </c>
      <c r="B17" s="34" t="s">
        <v>13</v>
      </c>
      <c r="C17" s="29">
        <f t="shared" si="1"/>
        <v>43.864316594612575</v>
      </c>
      <c r="D17" s="30">
        <f t="shared" si="2"/>
        <v>90.21</v>
      </c>
      <c r="E17" s="44">
        <v>3957</v>
      </c>
      <c r="F17" s="34">
        <v>22371</v>
      </c>
      <c r="H17" s="28"/>
      <c r="K17" s="65"/>
      <c r="L17" s="63"/>
      <c r="M17" s="63"/>
      <c r="N17" s="63"/>
      <c r="O17" s="63"/>
      <c r="P17" s="63"/>
      <c r="Q17" s="63"/>
    </row>
    <row r="18" spans="1:17">
      <c r="A18" s="33" t="s">
        <v>40</v>
      </c>
      <c r="B18" s="34" t="s">
        <v>13</v>
      </c>
      <c r="C18" s="29">
        <f t="shared" si="1"/>
        <v>138.10996563573883</v>
      </c>
      <c r="D18" s="30">
        <f t="shared" si="2"/>
        <v>90.21</v>
      </c>
      <c r="E18" s="44">
        <v>12458.9</v>
      </c>
      <c r="F18" s="34">
        <v>22372</v>
      </c>
      <c r="K18" s="63"/>
      <c r="L18" s="63"/>
      <c r="M18" s="63"/>
      <c r="N18" s="63"/>
      <c r="O18" s="63"/>
      <c r="P18" s="63"/>
      <c r="Q18" s="63"/>
    </row>
    <row r="19" spans="1:17">
      <c r="A19" s="33" t="s">
        <v>35</v>
      </c>
      <c r="B19" s="34" t="s">
        <v>13</v>
      </c>
      <c r="C19" s="29">
        <f t="shared" si="1"/>
        <v>22.170491076377342</v>
      </c>
      <c r="D19" s="30">
        <f t="shared" si="2"/>
        <v>90.21</v>
      </c>
      <c r="E19" s="44">
        <v>2000</v>
      </c>
      <c r="F19" s="39">
        <v>22375</v>
      </c>
      <c r="K19" s="66"/>
      <c r="L19" s="63"/>
      <c r="M19" s="65"/>
      <c r="N19" s="63"/>
      <c r="O19" s="63"/>
      <c r="P19" s="63"/>
      <c r="Q19" s="63"/>
    </row>
    <row r="20" spans="1:17">
      <c r="A20" s="33" t="s">
        <v>35</v>
      </c>
      <c r="B20" s="34" t="s">
        <v>13</v>
      </c>
      <c r="C20" s="29">
        <f t="shared" si="1"/>
        <v>19.35483870967742</v>
      </c>
      <c r="D20" s="30">
        <f t="shared" si="2"/>
        <v>90.21</v>
      </c>
      <c r="E20" s="44">
        <v>1746</v>
      </c>
      <c r="F20" s="30">
        <v>22377</v>
      </c>
      <c r="K20" s="65"/>
      <c r="L20" s="63"/>
      <c r="M20" s="67"/>
      <c r="N20" s="63"/>
      <c r="O20" s="63"/>
      <c r="P20" s="63"/>
      <c r="Q20" s="63"/>
    </row>
    <row r="21" spans="1:17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  <c r="Q21" s="63"/>
    </row>
    <row r="22" spans="1:17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  <c r="Q22" s="63"/>
    </row>
    <row r="23" spans="1:1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  <c r="Q23" s="63"/>
    </row>
    <row r="24" spans="1:1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  <c r="Q24" s="63"/>
    </row>
    <row r="25" spans="1:1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  <c r="Q25" s="63"/>
    </row>
    <row r="26" spans="1:17">
      <c r="A26" s="30"/>
      <c r="B26" s="30"/>
      <c r="C26" s="29">
        <f>SUM(C15:C25)</f>
        <v>798.81953220263824</v>
      </c>
      <c r="D26" s="29"/>
      <c r="E26" s="29">
        <f>SUM(E15:E25)</f>
        <v>72061.509999999995</v>
      </c>
      <c r="F26" s="30"/>
      <c r="K26" s="63"/>
      <c r="L26" s="63"/>
      <c r="M26" s="63"/>
      <c r="N26" s="63"/>
      <c r="O26" s="63"/>
      <c r="P26" s="63"/>
      <c r="Q26" s="63"/>
    </row>
    <row r="27" spans="1:17">
      <c r="K27" s="63"/>
      <c r="L27" s="63"/>
      <c r="M27" s="63"/>
      <c r="N27" s="63"/>
      <c r="O27" s="63"/>
      <c r="P27" s="63"/>
      <c r="Q27" s="63"/>
    </row>
    <row r="28" spans="1:17">
      <c r="K28" s="63"/>
      <c r="L28" s="63"/>
      <c r="M28" s="63"/>
      <c r="N28" s="63"/>
      <c r="O28" s="63"/>
      <c r="P28" s="63"/>
      <c r="Q28" s="63"/>
    </row>
    <row r="29" spans="1:17">
      <c r="K29" s="63"/>
      <c r="L29" s="63"/>
      <c r="M29" s="63"/>
      <c r="N29" s="63"/>
      <c r="O29" s="63"/>
      <c r="P29" s="63"/>
      <c r="Q29" s="63"/>
    </row>
    <row r="30" spans="1:17">
      <c r="K30" s="63"/>
      <c r="L30" s="63"/>
      <c r="M30" s="63"/>
      <c r="N30" s="63"/>
      <c r="O30" s="63"/>
      <c r="P30" s="63"/>
      <c r="Q30" s="63"/>
    </row>
    <row r="31" spans="1:17">
      <c r="K31" s="63"/>
      <c r="L31" s="63"/>
      <c r="M31" s="63"/>
      <c r="N31" s="63"/>
      <c r="O31" s="63"/>
      <c r="P31" s="63"/>
      <c r="Q31" s="63"/>
    </row>
    <row r="32" spans="1:17">
      <c r="C32">
        <f>+C15+C16</f>
        <v>575.31992018623214</v>
      </c>
      <c r="K32" s="63"/>
      <c r="L32" s="63"/>
      <c r="M32" s="63"/>
      <c r="N32" s="63"/>
      <c r="O32" s="63"/>
      <c r="P32" s="63"/>
      <c r="Q32" s="63"/>
    </row>
    <row r="33" spans="11:17">
      <c r="K33" s="63"/>
      <c r="L33" s="63"/>
      <c r="M33" s="63"/>
      <c r="N33" s="63"/>
      <c r="O33" s="63"/>
      <c r="P33" s="63"/>
      <c r="Q33" s="63"/>
    </row>
    <row r="34" spans="11:17">
      <c r="K34" s="63"/>
      <c r="L34" s="63"/>
      <c r="M34" s="63"/>
      <c r="N34" s="63"/>
      <c r="O34" s="63"/>
      <c r="P34" s="63"/>
      <c r="Q34" s="63"/>
    </row>
    <row r="35" spans="11:17">
      <c r="K35" s="63"/>
      <c r="L35" s="63"/>
      <c r="M35" s="63"/>
      <c r="N35" s="63"/>
      <c r="O35" s="63"/>
      <c r="P35" s="63"/>
      <c r="Q35" s="63"/>
    </row>
    <row r="36" spans="11:17">
      <c r="K36" s="63"/>
      <c r="L36" s="63"/>
      <c r="M36" s="63"/>
      <c r="N36" s="63"/>
      <c r="O36" s="63"/>
      <c r="P36" s="63"/>
      <c r="Q36" s="63"/>
    </row>
    <row r="37" spans="11:17">
      <c r="K37" s="63"/>
      <c r="L37" s="63"/>
      <c r="M37" s="63"/>
      <c r="N37" s="63"/>
      <c r="O37" s="63"/>
      <c r="P37" s="63"/>
      <c r="Q37" s="63"/>
    </row>
    <row r="38" spans="11:17">
      <c r="K38" s="63"/>
      <c r="L38" s="63"/>
      <c r="M38" s="63"/>
      <c r="N38" s="63"/>
      <c r="O38" s="63"/>
      <c r="P38" s="63"/>
      <c r="Q38" s="63"/>
    </row>
    <row r="39" spans="11:17">
      <c r="K39" s="63"/>
      <c r="L39" s="63"/>
      <c r="M39" s="63"/>
      <c r="N39" s="63"/>
      <c r="O39" s="63"/>
      <c r="P39" s="63"/>
      <c r="Q39" s="63"/>
    </row>
    <row r="40" spans="11:17">
      <c r="K40" s="63"/>
      <c r="L40" s="63"/>
      <c r="M40" s="63"/>
      <c r="N40" s="63"/>
      <c r="O40" s="63"/>
      <c r="P40" s="63"/>
      <c r="Q40" s="63"/>
    </row>
    <row r="41" spans="11:17">
      <c r="K41" s="63"/>
      <c r="L41" s="63"/>
      <c r="M41" s="63"/>
      <c r="N41" s="63"/>
      <c r="O41" s="63"/>
      <c r="P41" s="63"/>
      <c r="Q41" s="63"/>
    </row>
    <row r="42" spans="11:17">
      <c r="K42" s="63"/>
      <c r="L42" s="63"/>
      <c r="M42" s="63"/>
      <c r="N42" s="63"/>
      <c r="O42" s="63"/>
      <c r="P42" s="63"/>
      <c r="Q42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0"/>
  <sheetViews>
    <sheetView topLeftCell="F1" workbookViewId="0"/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397.14998337213171</v>
      </c>
    </row>
    <row r="4" spans="1:24" s="2" customFormat="1">
      <c r="A4" s="3" t="s">
        <v>14</v>
      </c>
      <c r="B4" s="12">
        <f>+(H13+H14+H15)/$C$4</f>
        <v>1446.3375035813199</v>
      </c>
      <c r="C4" s="4">
        <v>104.71</v>
      </c>
      <c r="D4" s="5">
        <f>B4*C4</f>
        <v>151446</v>
      </c>
      <c r="E4" s="6">
        <v>0</v>
      </c>
      <c r="F4" s="7">
        <f>+E4*C4</f>
        <v>0</v>
      </c>
      <c r="G4" s="9">
        <f>+(H8*60%)/$C$4</f>
        <v>402.98517811097321</v>
      </c>
      <c r="H4" s="7">
        <f>+G4*C4</f>
        <v>42196.578000000001</v>
      </c>
      <c r="I4" s="6">
        <f>J4/C4</f>
        <v>0</v>
      </c>
      <c r="J4" s="7">
        <v>0</v>
      </c>
      <c r="K4" s="8">
        <f>+L8/$C$4</f>
        <v>116.69811861331296</v>
      </c>
      <c r="L4" s="7">
        <f>+K4*C4</f>
        <v>12219.46</v>
      </c>
      <c r="M4" s="9">
        <f>+(N8*60%)/$C$4</f>
        <v>439.63944226912429</v>
      </c>
      <c r="N4" s="7">
        <f>+M4*C4</f>
        <v>46034.646000000001</v>
      </c>
      <c r="O4" s="9"/>
      <c r="P4" s="7">
        <f>+O4*C4</f>
        <v>0</v>
      </c>
      <c r="Q4" s="6">
        <v>487.01476458790933</v>
      </c>
      <c r="R4" s="7">
        <f>+Q4*C4</f>
        <v>50995.315999999984</v>
      </c>
      <c r="S4" s="10">
        <f>+X4</f>
        <v>0</v>
      </c>
      <c r="T4" s="7">
        <f>+S4*C4</f>
        <v>0</v>
      </c>
      <c r="U4" s="11">
        <f>+B4-E4-G4-Q4-S4-K4-I4-M4-O4</f>
        <v>5.6843418860808015E-14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1421.3280124154751</v>
      </c>
      <c r="C5" s="4">
        <v>90.21</v>
      </c>
      <c r="D5" s="5">
        <f>B5*C5</f>
        <v>128218</v>
      </c>
      <c r="E5" s="6">
        <v>0</v>
      </c>
      <c r="F5" s="7">
        <f>+E5*C5</f>
        <v>0</v>
      </c>
      <c r="G5" s="6">
        <f>+(H8*40%)/$C$5</f>
        <v>311.83961866755357</v>
      </c>
      <c r="H5" s="7">
        <f>+G5*C5</f>
        <v>28131.052000000007</v>
      </c>
      <c r="I5" s="6">
        <f>+J8/C5</f>
        <v>2.7713113845471677</v>
      </c>
      <c r="J5" s="7">
        <f>+I5*C5</f>
        <v>249.99999999999997</v>
      </c>
      <c r="K5" s="6">
        <v>0</v>
      </c>
      <c r="L5" s="7">
        <f>+K5*C5</f>
        <v>0</v>
      </c>
      <c r="M5" s="6">
        <f>+(N8*40%)/$C$5</f>
        <v>340.20356944906337</v>
      </c>
      <c r="N5" s="7">
        <f>+M5*C5</f>
        <v>30689.764000000003</v>
      </c>
      <c r="O5" s="9">
        <f>+P8/C5</f>
        <v>0</v>
      </c>
      <c r="P5" s="7">
        <f>+O5*C5</f>
        <v>0</v>
      </c>
      <c r="Q5" s="6">
        <v>369.36352954217921</v>
      </c>
      <c r="R5" s="7">
        <f>+Q5*C5</f>
        <v>33320.283999999985</v>
      </c>
      <c r="S5" s="10">
        <f>+X3</f>
        <v>397.14998337213171</v>
      </c>
      <c r="T5" s="7">
        <f>+S5*C5</f>
        <v>35826.9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171.28546099290782</v>
      </c>
      <c r="C6" s="4">
        <v>112.8</v>
      </c>
      <c r="D6" s="5">
        <f>B6*C6</f>
        <v>19321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171.28546099290782</v>
      </c>
      <c r="R6" s="7">
        <f>+Q6*C6</f>
        <v>19321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3038.9509769897027</v>
      </c>
      <c r="C7" s="3"/>
      <c r="D7" s="13">
        <f t="shared" ref="D7:T7" si="0">SUM(D4:D6)</f>
        <v>298985</v>
      </c>
      <c r="E7" s="14">
        <f t="shared" si="0"/>
        <v>0</v>
      </c>
      <c r="F7" s="15">
        <f t="shared" si="0"/>
        <v>0</v>
      </c>
      <c r="G7" s="14">
        <f t="shared" si="0"/>
        <v>714.82479677852677</v>
      </c>
      <c r="H7" s="15">
        <f t="shared" si="0"/>
        <v>70327.63</v>
      </c>
      <c r="I7" s="14">
        <f t="shared" si="0"/>
        <v>2.7713113845471677</v>
      </c>
      <c r="J7" s="15">
        <f t="shared" si="0"/>
        <v>249.99999999999997</v>
      </c>
      <c r="K7" s="14">
        <f t="shared" si="0"/>
        <v>116.69811861331296</v>
      </c>
      <c r="L7" s="15">
        <f t="shared" si="0"/>
        <v>12219.46</v>
      </c>
      <c r="M7" s="14">
        <f t="shared" si="0"/>
        <v>779.84301171818765</v>
      </c>
      <c r="N7" s="15">
        <f t="shared" si="0"/>
        <v>76724.41</v>
      </c>
      <c r="O7" s="14">
        <f t="shared" si="0"/>
        <v>0</v>
      </c>
      <c r="P7" s="15">
        <f t="shared" si="0"/>
        <v>0</v>
      </c>
      <c r="Q7" s="14">
        <f t="shared" si="0"/>
        <v>1027.6637551229965</v>
      </c>
      <c r="R7" s="15">
        <f t="shared" si="0"/>
        <v>103636.59999999998</v>
      </c>
      <c r="S7" s="14">
        <f t="shared" si="0"/>
        <v>397.14998337213171</v>
      </c>
      <c r="T7" s="15">
        <f t="shared" si="0"/>
        <v>35826.9</v>
      </c>
      <c r="U7" s="11">
        <f>+B7-E7-G7-Q7-S7-K7-I7-M7-O7</f>
        <v>-2.2737367544323206E-13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70327.63</v>
      </c>
      <c r="I8" s="18"/>
      <c r="J8" s="19">
        <v>250</v>
      </c>
      <c r="K8" s="18"/>
      <c r="L8" s="19">
        <v>12219.46</v>
      </c>
      <c r="M8" s="20"/>
      <c r="N8" s="19">
        <v>76724.41</v>
      </c>
      <c r="O8" s="20" t="s">
        <v>19</v>
      </c>
      <c r="P8" s="19">
        <v>0</v>
      </c>
      <c r="Q8" s="18">
        <v>0</v>
      </c>
      <c r="R8" s="19">
        <v>99505</v>
      </c>
      <c r="S8" s="18"/>
      <c r="T8" s="19">
        <v>39958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4131.5999999999767</v>
      </c>
      <c r="S9" s="21"/>
      <c r="T9" s="22">
        <f>+T7-T8</f>
        <v>-4131.0999999999985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0.5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79484</v>
      </c>
      <c r="I13" s="36">
        <v>41303</v>
      </c>
      <c r="J13" s="60">
        <v>19321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71962</v>
      </c>
      <c r="I14" s="36">
        <v>15498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4">
      <c r="A15" s="33" t="s">
        <v>33</v>
      </c>
      <c r="B15" s="34" t="s">
        <v>13</v>
      </c>
      <c r="C15" s="29">
        <f t="shared" ref="C15:C25" si="1">+E15/D15</f>
        <v>99.767209843698041</v>
      </c>
      <c r="D15" s="30">
        <f t="shared" ref="D15:D25" si="2">+VLOOKUP(B15,A$4:C$6,3,0)</f>
        <v>90.21</v>
      </c>
      <c r="E15" s="42">
        <v>9000</v>
      </c>
      <c r="F15" s="34">
        <v>22378</v>
      </c>
      <c r="H15" s="36"/>
      <c r="I15" s="36">
        <v>71417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1:24">
      <c r="A16" s="33" t="s">
        <v>30</v>
      </c>
      <c r="B16" s="34" t="s">
        <v>13</v>
      </c>
      <c r="C16" s="29">
        <f t="shared" si="1"/>
        <v>221.98991242656027</v>
      </c>
      <c r="D16" s="30">
        <f t="shared" si="2"/>
        <v>90.21</v>
      </c>
      <c r="E16" s="42">
        <v>20025.71</v>
      </c>
      <c r="F16" s="34">
        <v>22379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1:23">
      <c r="A17" s="33" t="s">
        <v>35</v>
      </c>
      <c r="B17" s="34" t="s">
        <v>13</v>
      </c>
      <c r="C17" s="29">
        <f t="shared" si="1"/>
        <v>35.361933266821865</v>
      </c>
      <c r="D17" s="30">
        <f t="shared" si="2"/>
        <v>90.21</v>
      </c>
      <c r="E17" s="44">
        <v>3190</v>
      </c>
      <c r="F17" s="34">
        <v>22381</v>
      </c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1:23">
      <c r="A18" s="33" t="s">
        <v>35</v>
      </c>
      <c r="B18" s="34" t="s">
        <v>13</v>
      </c>
      <c r="C18" s="29">
        <f t="shared" si="1"/>
        <v>40.03092783505155</v>
      </c>
      <c r="D18" s="30">
        <f t="shared" si="2"/>
        <v>90.21</v>
      </c>
      <c r="E18" s="44">
        <v>3611.19</v>
      </c>
      <c r="F18" s="34">
        <v>22384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 spans="1:23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 spans="1:23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 spans="1:23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 spans="1:23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 spans="1:23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 spans="1:23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 spans="1:23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 spans="1:23">
      <c r="A26" s="30"/>
      <c r="B26" s="30"/>
      <c r="C26" s="29">
        <f>SUM(C15:C25)</f>
        <v>397.14998337213171</v>
      </c>
      <c r="D26" s="29"/>
      <c r="E26" s="29">
        <f>SUM(E15:E25)</f>
        <v>35826.9</v>
      </c>
      <c r="F26" s="30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 spans="1:23"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 spans="1:23"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 spans="1:23"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 spans="1:23"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 spans="1:23">
      <c r="C32">
        <f>+C15+C16</f>
        <v>321.75712227025832</v>
      </c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11:23"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 spans="11:23"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spans="11:23"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spans="11:23"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 spans="11:23"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 spans="11:23"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 spans="11:23"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 spans="11:23"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 spans="11:23"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 spans="11:23"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 spans="11:23"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 spans="11:23"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"/>
  <sheetViews>
    <sheetView topLeftCell="F1" workbookViewId="0">
      <selection activeCell="Q4" sqref="Q4:Q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434.50327014743374</v>
      </c>
    </row>
    <row r="4" spans="1:24" s="2" customFormat="1">
      <c r="A4" s="3" t="s">
        <v>14</v>
      </c>
      <c r="B4" s="12">
        <f>+(H13+H14+H15)/$C$4</f>
        <v>1498.4051188998187</v>
      </c>
      <c r="C4" s="4">
        <v>104.71</v>
      </c>
      <c r="D4" s="5">
        <f>B4*C4</f>
        <v>156898</v>
      </c>
      <c r="E4" s="6">
        <v>0</v>
      </c>
      <c r="F4" s="7">
        <f>+E4*C4</f>
        <v>0</v>
      </c>
      <c r="G4" s="9">
        <f>+(H8*60%)/$C$4</f>
        <v>401.15818928469105</v>
      </c>
      <c r="H4" s="7">
        <f>+G4*C4</f>
        <v>42005.273999999998</v>
      </c>
      <c r="I4" s="6">
        <f>J4/C4</f>
        <v>0</v>
      </c>
      <c r="J4" s="7">
        <v>0</v>
      </c>
      <c r="K4" s="8">
        <f>+L8/$C$4</f>
        <v>111.24582179352497</v>
      </c>
      <c r="L4" s="7">
        <f>+K4*C4</f>
        <v>11648.55</v>
      </c>
      <c r="M4" s="9">
        <f>+(N8*60%)/$C$4</f>
        <v>415.46685130360044</v>
      </c>
      <c r="N4" s="7">
        <f>+M4*C4</f>
        <v>43503.534</v>
      </c>
      <c r="O4" s="9"/>
      <c r="P4" s="7">
        <f>+O4*C4</f>
        <v>0</v>
      </c>
      <c r="Q4" s="6">
        <v>570.53425651800217</v>
      </c>
      <c r="R4" s="7">
        <f>+Q4*C4</f>
        <v>59740.642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1451.3025163507373</v>
      </c>
      <c r="C5" s="4">
        <v>90.21</v>
      </c>
      <c r="D5" s="5">
        <f>B5*C5</f>
        <v>130922</v>
      </c>
      <c r="E5" s="6">
        <v>0</v>
      </c>
      <c r="F5" s="7">
        <f>+E5*C5</f>
        <v>0</v>
      </c>
      <c r="G5" s="6">
        <f>+(H8*40%)/$C$5</f>
        <v>310.4258507925951</v>
      </c>
      <c r="H5" s="7">
        <f>+G5*C5</f>
        <v>28003.516000000003</v>
      </c>
      <c r="I5" s="6">
        <f>+J8/C5</f>
        <v>9.0899013413147109</v>
      </c>
      <c r="J5" s="7">
        <f>+I5*C5</f>
        <v>820</v>
      </c>
      <c r="K5" s="6">
        <v>0</v>
      </c>
      <c r="L5" s="7">
        <f>+K5*C5</f>
        <v>0</v>
      </c>
      <c r="M5" s="6">
        <f>+(N8*40%)/$C$5</f>
        <v>321.49823744595943</v>
      </c>
      <c r="N5" s="7">
        <f>+M5*C5</f>
        <v>29002.356</v>
      </c>
      <c r="O5" s="9">
        <f>+P8/C5</f>
        <v>0</v>
      </c>
      <c r="P5" s="7">
        <f>+O5*C5</f>
        <v>0</v>
      </c>
      <c r="Q5" s="6">
        <v>375.78525662343424</v>
      </c>
      <c r="R5" s="7">
        <f>+Q5*C5</f>
        <v>33899.588000000003</v>
      </c>
      <c r="S5" s="10">
        <f>+X3</f>
        <v>434.50327014743374</v>
      </c>
      <c r="T5" s="7">
        <f>+S5*C5</f>
        <v>39196.539999999994</v>
      </c>
      <c r="U5" s="11">
        <f>+B5-E5-G5-Q5-S5-K5-I5-M5-O5</f>
        <v>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84.751773049645394</v>
      </c>
      <c r="C6" s="4">
        <v>112.8</v>
      </c>
      <c r="D6" s="5">
        <f>B6*C6</f>
        <v>9560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84.751773049645394</v>
      </c>
      <c r="R6" s="7">
        <f>+Q6*C6</f>
        <v>9560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3034.4594083002012</v>
      </c>
      <c r="C7" s="3"/>
      <c r="D7" s="13">
        <f t="shared" ref="D7:T7" si="0">SUM(D4:D6)</f>
        <v>297380</v>
      </c>
      <c r="E7" s="14">
        <f t="shared" si="0"/>
        <v>0</v>
      </c>
      <c r="F7" s="15">
        <f t="shared" si="0"/>
        <v>0</v>
      </c>
      <c r="G7" s="14">
        <f t="shared" si="0"/>
        <v>711.58404007728609</v>
      </c>
      <c r="H7" s="15">
        <f t="shared" si="0"/>
        <v>70008.790000000008</v>
      </c>
      <c r="I7" s="14">
        <f t="shared" si="0"/>
        <v>9.0899013413147109</v>
      </c>
      <c r="J7" s="15">
        <f t="shared" si="0"/>
        <v>820</v>
      </c>
      <c r="K7" s="14">
        <f t="shared" si="0"/>
        <v>111.24582179352497</v>
      </c>
      <c r="L7" s="15">
        <f t="shared" si="0"/>
        <v>11648.55</v>
      </c>
      <c r="M7" s="14">
        <f t="shared" si="0"/>
        <v>736.96508874955987</v>
      </c>
      <c r="N7" s="15">
        <f t="shared" si="0"/>
        <v>72505.89</v>
      </c>
      <c r="O7" s="14">
        <f t="shared" si="0"/>
        <v>0</v>
      </c>
      <c r="P7" s="15">
        <f t="shared" si="0"/>
        <v>0</v>
      </c>
      <c r="Q7" s="14">
        <f t="shared" si="0"/>
        <v>1031.0712861910818</v>
      </c>
      <c r="R7" s="15">
        <f t="shared" si="0"/>
        <v>103200.23000000001</v>
      </c>
      <c r="S7" s="14">
        <f t="shared" si="0"/>
        <v>434.50327014743374</v>
      </c>
      <c r="T7" s="15">
        <f t="shared" si="0"/>
        <v>39196.539999999994</v>
      </c>
      <c r="U7" s="11">
        <f>+B7-E7-G7-Q7-S7-K7-I7-M7-O7</f>
        <v>2.2737367544323206E-13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70008.789999999994</v>
      </c>
      <c r="I8" s="18"/>
      <c r="J8" s="19">
        <v>820</v>
      </c>
      <c r="K8" s="18"/>
      <c r="L8" s="19">
        <v>11648.55</v>
      </c>
      <c r="M8" s="20"/>
      <c r="N8" s="19">
        <v>72505.89</v>
      </c>
      <c r="O8" s="20" t="s">
        <v>19</v>
      </c>
      <c r="P8" s="19">
        <v>0</v>
      </c>
      <c r="Q8" s="18">
        <v>0</v>
      </c>
      <c r="R8" s="19">
        <v>98199</v>
      </c>
      <c r="S8" s="18"/>
      <c r="T8" s="19">
        <v>44197.77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5001.2300000000105</v>
      </c>
      <c r="S9" s="21"/>
      <c r="T9" s="22">
        <f>+T7-T8</f>
        <v>-5001.2300000000032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75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4.3655745685100555E-11</v>
      </c>
      <c r="F11" s="28"/>
      <c r="K11" s="63"/>
      <c r="L11" s="63"/>
      <c r="M11" s="65"/>
      <c r="N11" s="63"/>
      <c r="O11" s="63"/>
      <c r="P11" s="63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3"/>
      <c r="L12" s="63"/>
      <c r="M12" s="63"/>
      <c r="N12" s="63"/>
      <c r="O12" s="63"/>
      <c r="P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76777</v>
      </c>
      <c r="I13" s="36">
        <v>48366</v>
      </c>
      <c r="J13" s="60">
        <v>9560</v>
      </c>
      <c r="K13" s="63"/>
      <c r="L13" s="63"/>
      <c r="M13" s="63"/>
      <c r="N13" s="63"/>
      <c r="O13" s="63"/>
      <c r="P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80121</v>
      </c>
      <c r="I14" s="36">
        <v>47530</v>
      </c>
      <c r="J14" s="60"/>
      <c r="K14" s="64"/>
      <c r="L14" s="64"/>
      <c r="M14" s="64"/>
      <c r="N14" s="63"/>
      <c r="O14" s="63"/>
      <c r="P14" s="63"/>
    </row>
    <row r="15" spans="1:24">
      <c r="A15" s="33" t="s">
        <v>34</v>
      </c>
      <c r="B15" s="34" t="s">
        <v>13</v>
      </c>
      <c r="C15" s="29">
        <f t="shared" ref="C15:C25" si="1">+E15/D15</f>
        <v>382.43332224808779</v>
      </c>
      <c r="D15" s="30">
        <f t="shared" ref="D15:D25" si="2">+VLOOKUP(B15,A$4:C$6,3,0)</f>
        <v>90.21</v>
      </c>
      <c r="E15" s="42">
        <v>34499.31</v>
      </c>
      <c r="F15" s="34">
        <v>22385</v>
      </c>
      <c r="H15" s="36"/>
      <c r="I15" s="36">
        <v>35026</v>
      </c>
      <c r="J15" s="61"/>
      <c r="K15" s="65"/>
      <c r="L15" s="63"/>
      <c r="M15" s="63"/>
      <c r="N15" s="63"/>
      <c r="O15" s="63"/>
      <c r="P15" s="63"/>
      <c r="V15">
        <f>2123+9236+3417.23+18069.1</f>
        <v>32845.33</v>
      </c>
    </row>
    <row r="16" spans="1:24">
      <c r="A16" s="33" t="s">
        <v>35</v>
      </c>
      <c r="B16" s="34" t="s">
        <v>13</v>
      </c>
      <c r="C16" s="29">
        <f t="shared" si="1"/>
        <v>52.069947899345969</v>
      </c>
      <c r="D16" s="30">
        <f t="shared" si="2"/>
        <v>90.21</v>
      </c>
      <c r="E16" s="42">
        <v>4697.2299999999996</v>
      </c>
      <c r="F16" s="34">
        <v>22386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</row>
    <row r="17" spans="1:16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  <c r="P17" s="63"/>
    </row>
    <row r="18" spans="1:16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3"/>
      <c r="L18" s="63"/>
      <c r="M18" s="63"/>
      <c r="N18" s="63"/>
      <c r="O18" s="63"/>
      <c r="P18" s="63"/>
    </row>
    <row r="19" spans="1:16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  <c r="O19" s="63"/>
      <c r="P19" s="63"/>
    </row>
    <row r="20" spans="1:16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  <c r="O20" s="63"/>
      <c r="P20" s="63"/>
    </row>
    <row r="21" spans="1:16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</row>
    <row r="22" spans="1:16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</row>
    <row r="23" spans="1:16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</row>
    <row r="24" spans="1:16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</row>
    <row r="25" spans="1:16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</row>
    <row r="26" spans="1:16">
      <c r="A26" s="30"/>
      <c r="B26" s="30"/>
      <c r="C26" s="29">
        <f>SUM(C15:C25)</f>
        <v>434.50327014743374</v>
      </c>
      <c r="D26" s="29"/>
      <c r="E26" s="29">
        <f>SUM(E15:E25)</f>
        <v>39196.539999999994</v>
      </c>
      <c r="F26" s="30"/>
      <c r="K26" s="63"/>
      <c r="L26" s="63"/>
      <c r="M26" s="63"/>
      <c r="N26" s="63"/>
      <c r="O26" s="63"/>
      <c r="P26" s="63"/>
    </row>
    <row r="27" spans="1:16">
      <c r="K27" s="63"/>
      <c r="L27" s="63"/>
      <c r="M27" s="63"/>
      <c r="N27" s="63"/>
      <c r="O27" s="63"/>
      <c r="P27" s="63"/>
    </row>
    <row r="28" spans="1:16">
      <c r="K28" s="63"/>
      <c r="L28" s="63"/>
      <c r="M28" s="63"/>
      <c r="N28" s="63"/>
      <c r="O28" s="63"/>
      <c r="P28" s="63"/>
    </row>
    <row r="29" spans="1:16">
      <c r="K29" s="63"/>
      <c r="L29" s="63"/>
      <c r="M29" s="63"/>
      <c r="N29" s="63"/>
      <c r="O29" s="63"/>
      <c r="P29" s="63"/>
    </row>
    <row r="30" spans="1:16">
      <c r="K30" s="63"/>
      <c r="L30" s="63"/>
      <c r="M30" s="63"/>
      <c r="N30" s="63"/>
      <c r="O30" s="63"/>
      <c r="P30" s="63"/>
    </row>
    <row r="31" spans="1:16">
      <c r="K31" s="63"/>
      <c r="L31" s="63"/>
      <c r="M31" s="63"/>
      <c r="N31" s="63"/>
      <c r="O31" s="63"/>
      <c r="P31" s="63"/>
    </row>
    <row r="32" spans="1:16">
      <c r="C32">
        <f>+C15+C16</f>
        <v>434.50327014743374</v>
      </c>
      <c r="K32" s="63"/>
      <c r="L32" s="63"/>
      <c r="M32" s="63"/>
      <c r="N32" s="63"/>
      <c r="O32" s="63"/>
      <c r="P32" s="63"/>
    </row>
    <row r="33" spans="11:16">
      <c r="K33" s="63"/>
      <c r="L33" s="63"/>
      <c r="M33" s="63"/>
      <c r="N33" s="63"/>
      <c r="O33" s="63"/>
      <c r="P33" s="63"/>
    </row>
    <row r="34" spans="11:16">
      <c r="K34" s="63"/>
      <c r="L34" s="63"/>
      <c r="M34" s="63"/>
      <c r="N34" s="63"/>
      <c r="O34" s="63"/>
      <c r="P34" s="63"/>
    </row>
    <row r="35" spans="11:16">
      <c r="K35" s="63"/>
      <c r="L35" s="63"/>
      <c r="M35" s="63"/>
      <c r="N35" s="63"/>
      <c r="O35" s="63"/>
      <c r="P35" s="63"/>
    </row>
    <row r="36" spans="11:16">
      <c r="K36" s="63"/>
      <c r="L36" s="63"/>
      <c r="M36" s="63"/>
      <c r="N36" s="63"/>
      <c r="O36" s="63"/>
      <c r="P36" s="63"/>
    </row>
    <row r="37" spans="11:16">
      <c r="K37" s="63"/>
      <c r="L37" s="63"/>
      <c r="M37" s="63"/>
      <c r="N37" s="63"/>
      <c r="O37" s="63"/>
      <c r="P37" s="63"/>
    </row>
    <row r="38" spans="11:16">
      <c r="K38" s="63"/>
      <c r="L38" s="63"/>
      <c r="M38" s="63"/>
      <c r="N38" s="63"/>
      <c r="O38" s="63"/>
      <c r="P38" s="63"/>
    </row>
    <row r="39" spans="11:16">
      <c r="K39" s="63"/>
      <c r="L39" s="63"/>
      <c r="M39" s="63"/>
      <c r="N39" s="63"/>
      <c r="O39" s="63"/>
      <c r="P39" s="63"/>
    </row>
    <row r="40" spans="11:16">
      <c r="K40" s="63"/>
      <c r="L40" s="63"/>
      <c r="M40" s="63"/>
      <c r="N40" s="63"/>
      <c r="O40" s="63"/>
      <c r="P40" s="63"/>
    </row>
    <row r="41" spans="11:16">
      <c r="K41" s="63"/>
      <c r="L41" s="63"/>
      <c r="M41" s="63"/>
      <c r="N41" s="63"/>
      <c r="O41" s="63"/>
      <c r="P41" s="63"/>
    </row>
    <row r="42" spans="11:16">
      <c r="K42" s="63"/>
      <c r="L42" s="63"/>
      <c r="M42" s="63"/>
      <c r="N42" s="63"/>
      <c r="O42" s="63"/>
      <c r="P42" s="63"/>
    </row>
    <row r="43" spans="11:16">
      <c r="K43" s="63"/>
      <c r="L43" s="63"/>
      <c r="M43" s="63"/>
      <c r="N43" s="63"/>
      <c r="O43" s="63"/>
      <c r="P43" s="63"/>
    </row>
    <row r="44" spans="11:16">
      <c r="K44" s="63"/>
      <c r="L44" s="63"/>
      <c r="M44" s="63"/>
      <c r="N44" s="63"/>
      <c r="O44" s="63"/>
      <c r="P44" s="63"/>
    </row>
    <row r="45" spans="11:16">
      <c r="K45" s="63"/>
      <c r="L45" s="63"/>
      <c r="M45" s="63"/>
      <c r="N45" s="63"/>
      <c r="O45" s="63"/>
      <c r="P45" s="63"/>
    </row>
    <row r="46" spans="11:16">
      <c r="K46" s="63"/>
      <c r="L46" s="63"/>
      <c r="M46" s="63"/>
      <c r="N46" s="63"/>
      <c r="O46" s="63"/>
      <c r="P46" s="63"/>
    </row>
    <row r="47" spans="11:16">
      <c r="K47" s="63"/>
      <c r="L47" s="63"/>
      <c r="M47" s="63"/>
      <c r="N47" s="63"/>
      <c r="O47" s="63"/>
      <c r="P47" s="63"/>
    </row>
    <row r="48" spans="11:16">
      <c r="K48" s="63"/>
      <c r="L48" s="63"/>
      <c r="M48" s="63"/>
      <c r="N48" s="63"/>
      <c r="O48" s="63"/>
      <c r="P48" s="63"/>
    </row>
    <row r="49" spans="5:16">
      <c r="K49" s="63"/>
      <c r="L49" s="63"/>
      <c r="M49" s="63"/>
      <c r="N49" s="63"/>
      <c r="O49" s="63"/>
      <c r="P49" s="63"/>
    </row>
    <row r="50" spans="5:16">
      <c r="E50">
        <v>9</v>
      </c>
      <c r="K50" s="63"/>
      <c r="L50" s="63"/>
      <c r="M50" s="63"/>
      <c r="N50" s="63"/>
      <c r="O50" s="63"/>
      <c r="P50" s="63"/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1"/>
  <sheetViews>
    <sheetView topLeftCell="J1" workbookViewId="0">
      <selection activeCell="Q4" sqref="Q4:Q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638.76820751579646</v>
      </c>
    </row>
    <row r="4" spans="1:24" s="2" customFormat="1">
      <c r="A4" s="3" t="s">
        <v>14</v>
      </c>
      <c r="B4" s="12">
        <f>+(H13+H14+H15)/$C$4</f>
        <v>1555.7826377614365</v>
      </c>
      <c r="C4" s="4">
        <v>104.71</v>
      </c>
      <c r="D4" s="5">
        <f>B4*C4</f>
        <v>162906</v>
      </c>
      <c r="E4" s="6">
        <v>0</v>
      </c>
      <c r="F4" s="7">
        <f>+E4*C4</f>
        <v>0</v>
      </c>
      <c r="G4" s="9">
        <f>+(H8*60%)/$C$4</f>
        <v>488.73360710533859</v>
      </c>
      <c r="H4" s="7">
        <f>+G4*C4</f>
        <v>51175.296000000002</v>
      </c>
      <c r="I4" s="6">
        <f>J4/C4</f>
        <v>0</v>
      </c>
      <c r="J4" s="7">
        <v>0</v>
      </c>
      <c r="K4" s="8">
        <f>+L8/$C$4</f>
        <v>56.228726960175727</v>
      </c>
      <c r="L4" s="7">
        <f>+K4*C4</f>
        <v>5887.71</v>
      </c>
      <c r="M4" s="9">
        <f>+(N8*60%)/$C$4</f>
        <v>445.9439404068379</v>
      </c>
      <c r="N4" s="7">
        <f>+M4*C4</f>
        <v>46694.789999999994</v>
      </c>
      <c r="O4" s="9"/>
      <c r="P4" s="7">
        <f>+O4*C4</f>
        <v>0</v>
      </c>
      <c r="Q4" s="6">
        <v>564.87636328908411</v>
      </c>
      <c r="R4" s="7">
        <f>+Q4*C4</f>
        <v>59148.203999999991</v>
      </c>
      <c r="S4" s="10">
        <f>+X4</f>
        <v>0</v>
      </c>
      <c r="T4" s="7">
        <f>+S4*C4</f>
        <v>0</v>
      </c>
      <c r="U4" s="11">
        <f>+B4-E4-G4-Q4-S4-K4-I4-M4-O4</f>
        <v>5.6843418860808015E-14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1773.2734730074271</v>
      </c>
      <c r="C5" s="4">
        <v>90.21</v>
      </c>
      <c r="D5" s="5">
        <f>B5*C5</f>
        <v>159967</v>
      </c>
      <c r="E5" s="6">
        <v>0</v>
      </c>
      <c r="F5" s="7">
        <f>+E5*C5</f>
        <v>0</v>
      </c>
      <c r="G5" s="6">
        <f>+(H8*40%)/$C$5</f>
        <v>378.19381443298971</v>
      </c>
      <c r="H5" s="7">
        <f>+G5*C5</f>
        <v>34116.864000000001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345.08214166943799</v>
      </c>
      <c r="N5" s="7">
        <f>+M5*C5</f>
        <v>31129.859999999997</v>
      </c>
      <c r="O5" s="9">
        <f>+P8/C5</f>
        <v>0</v>
      </c>
      <c r="P5" s="7">
        <f>+O5*C5</f>
        <v>0</v>
      </c>
      <c r="Q5" s="6">
        <v>411.22930938920297</v>
      </c>
      <c r="R5" s="7">
        <f>+Q5*C5</f>
        <v>37096.995999999999</v>
      </c>
      <c r="S5" s="10">
        <f>+X3</f>
        <v>638.76820751579646</v>
      </c>
      <c r="T5" s="7">
        <f>+S5*C5</f>
        <v>57623.279999999992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9.6453900709219855</v>
      </c>
      <c r="C6" s="4">
        <v>112.8</v>
      </c>
      <c r="D6" s="5">
        <f>B6*C6</f>
        <v>1088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9.6453900709219855</v>
      </c>
      <c r="R6" s="7">
        <f>+Q6*C6</f>
        <v>1088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3338.7015008397857</v>
      </c>
      <c r="C7" s="3"/>
      <c r="D7" s="13">
        <f t="shared" ref="D7:T7" si="0">SUM(D4:D6)</f>
        <v>323961</v>
      </c>
      <c r="E7" s="14">
        <f t="shared" si="0"/>
        <v>0</v>
      </c>
      <c r="F7" s="15">
        <f t="shared" si="0"/>
        <v>0</v>
      </c>
      <c r="G7" s="14">
        <f t="shared" si="0"/>
        <v>866.9274215383283</v>
      </c>
      <c r="H7" s="15">
        <f t="shared" si="0"/>
        <v>85292.160000000003</v>
      </c>
      <c r="I7" s="14">
        <f t="shared" si="0"/>
        <v>0</v>
      </c>
      <c r="J7" s="15">
        <f t="shared" si="0"/>
        <v>0</v>
      </c>
      <c r="K7" s="14">
        <f t="shared" si="0"/>
        <v>56.228726960175727</v>
      </c>
      <c r="L7" s="15">
        <f t="shared" si="0"/>
        <v>5887.71</v>
      </c>
      <c r="M7" s="14">
        <f t="shared" si="0"/>
        <v>791.02608207627588</v>
      </c>
      <c r="N7" s="15">
        <f t="shared" si="0"/>
        <v>77824.649999999994</v>
      </c>
      <c r="O7" s="14">
        <f t="shared" si="0"/>
        <v>0</v>
      </c>
      <c r="P7" s="15">
        <f t="shared" si="0"/>
        <v>0</v>
      </c>
      <c r="Q7" s="14">
        <f t="shared" si="0"/>
        <v>985.75106274920904</v>
      </c>
      <c r="R7" s="15">
        <f t="shared" si="0"/>
        <v>97333.199999999983</v>
      </c>
      <c r="S7" s="14">
        <f t="shared" si="0"/>
        <v>638.76820751579646</v>
      </c>
      <c r="T7" s="15">
        <f t="shared" si="0"/>
        <v>57623.279999999992</v>
      </c>
      <c r="U7" s="11">
        <f>+B7-E7-G7-Q7-S7-K7-I7-M7-O7</f>
        <v>1.1368683772161603E-13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85292.160000000003</v>
      </c>
      <c r="I8" s="18"/>
      <c r="J8" s="19">
        <v>0</v>
      </c>
      <c r="K8" s="18"/>
      <c r="L8" s="19">
        <v>5887.71</v>
      </c>
      <c r="M8" s="20"/>
      <c r="N8" s="19">
        <v>77824.649999999994</v>
      </c>
      <c r="O8" s="20" t="s">
        <v>19</v>
      </c>
      <c r="P8" s="19">
        <v>0</v>
      </c>
      <c r="Q8" s="18">
        <v>0</v>
      </c>
      <c r="R8" s="19">
        <v>91742</v>
      </c>
      <c r="S8" s="18"/>
      <c r="T8" s="19">
        <v>63214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5591.1999999999825</v>
      </c>
      <c r="S9" s="21"/>
      <c r="T9" s="22">
        <f>+T7-T8</f>
        <v>-5590.7200000000084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0.48000000001047738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3"/>
      <c r="L12" s="63"/>
      <c r="M12" s="63"/>
      <c r="N12" s="63"/>
      <c r="O12" s="63"/>
      <c r="P12" s="63"/>
      <c r="Q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85934</v>
      </c>
      <c r="I13" s="36">
        <v>26789</v>
      </c>
      <c r="J13" s="60">
        <v>1088</v>
      </c>
      <c r="K13" s="63"/>
      <c r="L13" s="63"/>
      <c r="M13" s="63"/>
      <c r="N13" s="63"/>
      <c r="O13" s="63"/>
      <c r="P13" s="63"/>
      <c r="Q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76972</v>
      </c>
      <c r="I14" s="36">
        <v>51963</v>
      </c>
      <c r="J14" s="60"/>
      <c r="K14" s="64"/>
      <c r="L14" s="64"/>
      <c r="M14" s="64"/>
      <c r="N14" s="63"/>
      <c r="O14" s="63"/>
      <c r="P14" s="63"/>
      <c r="Q14" s="63"/>
    </row>
    <row r="15" spans="1:24">
      <c r="A15" s="33" t="s">
        <v>30</v>
      </c>
      <c r="B15" s="34" t="s">
        <v>13</v>
      </c>
      <c r="C15" s="29">
        <f t="shared" ref="C15:C25" si="1">+E15/D15</f>
        <v>226.63995122491963</v>
      </c>
      <c r="D15" s="30">
        <f t="shared" ref="D15:D25" si="2">+VLOOKUP(B15,A$4:C$6,3,0)</f>
        <v>90.21</v>
      </c>
      <c r="E15" s="42">
        <v>20445.189999999999</v>
      </c>
      <c r="F15" s="34">
        <v>22387</v>
      </c>
      <c r="H15" s="36"/>
      <c r="I15" s="36">
        <v>81215</v>
      </c>
      <c r="J15" s="61"/>
      <c r="K15" s="65"/>
      <c r="L15" s="63"/>
      <c r="M15" s="63"/>
      <c r="N15" s="63"/>
      <c r="O15" s="63"/>
      <c r="P15" s="63"/>
      <c r="Q15" s="63"/>
      <c r="V15">
        <f>2123+9236+3417.23+18069.1</f>
        <v>32845.33</v>
      </c>
    </row>
    <row r="16" spans="1:24">
      <c r="A16" s="33" t="s">
        <v>34</v>
      </c>
      <c r="B16" s="34" t="s">
        <v>13</v>
      </c>
      <c r="C16" s="29">
        <f t="shared" si="1"/>
        <v>351.56989247311827</v>
      </c>
      <c r="D16" s="30">
        <f t="shared" si="2"/>
        <v>90.21</v>
      </c>
      <c r="E16" s="42">
        <v>31715.119999999999</v>
      </c>
      <c r="F16" s="34">
        <v>22388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</row>
    <row r="17" spans="1:17">
      <c r="A17" s="33" t="s">
        <v>35</v>
      </c>
      <c r="B17" s="34" t="s">
        <v>13</v>
      </c>
      <c r="C17" s="29">
        <f t="shared" si="1"/>
        <v>39.499944573772311</v>
      </c>
      <c r="D17" s="30">
        <f t="shared" si="2"/>
        <v>90.21</v>
      </c>
      <c r="E17" s="44">
        <v>3563.29</v>
      </c>
      <c r="F17" s="34">
        <v>22389</v>
      </c>
      <c r="H17" s="28"/>
      <c r="K17" s="65"/>
      <c r="L17" s="63"/>
      <c r="M17" s="63"/>
      <c r="N17" s="63"/>
      <c r="O17" s="63"/>
      <c r="P17" s="63"/>
      <c r="Q17" s="63"/>
    </row>
    <row r="18" spans="1:17">
      <c r="A18" s="33" t="s">
        <v>34</v>
      </c>
      <c r="B18" s="34" t="s">
        <v>13</v>
      </c>
      <c r="C18" s="29">
        <f t="shared" si="1"/>
        <v>21.058419243986258</v>
      </c>
      <c r="D18" s="30">
        <f t="shared" si="2"/>
        <v>90.21</v>
      </c>
      <c r="E18" s="44">
        <v>1899.68</v>
      </c>
      <c r="F18" s="34">
        <v>22391</v>
      </c>
      <c r="K18" s="63"/>
      <c r="L18" s="63"/>
      <c r="M18" s="63"/>
      <c r="N18" s="63"/>
      <c r="O18" s="63"/>
      <c r="P18" s="63"/>
      <c r="Q18" s="63"/>
    </row>
    <row r="19" spans="1:17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  <c r="O19" s="63"/>
      <c r="P19" s="63"/>
      <c r="Q19" s="63"/>
    </row>
    <row r="20" spans="1:17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  <c r="O20" s="63"/>
      <c r="P20" s="63"/>
      <c r="Q20" s="63"/>
    </row>
    <row r="21" spans="1:17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  <c r="Q21" s="63"/>
    </row>
    <row r="22" spans="1:17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  <c r="Q22" s="63"/>
    </row>
    <row r="23" spans="1:1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  <c r="Q23" s="63"/>
    </row>
    <row r="24" spans="1:1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  <c r="Q24" s="63"/>
    </row>
    <row r="25" spans="1:1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  <c r="Q25" s="63"/>
    </row>
    <row r="26" spans="1:17">
      <c r="A26" s="30"/>
      <c r="B26" s="30"/>
      <c r="C26" s="29">
        <f>SUM(C15:C25)</f>
        <v>638.76820751579646</v>
      </c>
      <c r="D26" s="29"/>
      <c r="E26" s="29">
        <f>SUM(E15:E25)</f>
        <v>57623.28</v>
      </c>
      <c r="F26" s="30"/>
      <c r="K26" s="63"/>
      <c r="L26" s="63"/>
      <c r="M26" s="63"/>
      <c r="N26" s="63"/>
      <c r="O26" s="63"/>
      <c r="P26" s="63"/>
      <c r="Q26" s="63"/>
    </row>
    <row r="27" spans="1:17">
      <c r="K27" s="63"/>
      <c r="L27" s="63"/>
      <c r="M27" s="63"/>
      <c r="N27" s="63"/>
      <c r="O27" s="63"/>
      <c r="P27" s="63"/>
      <c r="Q27" s="63"/>
    </row>
    <row r="28" spans="1:17">
      <c r="K28" s="63"/>
      <c r="L28" s="63"/>
      <c r="M28" s="63"/>
      <c r="N28" s="63"/>
      <c r="O28" s="63"/>
      <c r="P28" s="63"/>
      <c r="Q28" s="63"/>
    </row>
    <row r="29" spans="1:17">
      <c r="K29" s="63"/>
      <c r="L29" s="63"/>
      <c r="M29" s="63"/>
      <c r="N29" s="63"/>
      <c r="O29" s="63"/>
      <c r="P29" s="63"/>
      <c r="Q29" s="63"/>
    </row>
    <row r="30" spans="1:17">
      <c r="K30" s="63"/>
      <c r="L30" s="63"/>
      <c r="M30" s="63"/>
      <c r="N30" s="63"/>
      <c r="O30" s="63"/>
      <c r="P30" s="63"/>
      <c r="Q30" s="63"/>
    </row>
    <row r="31" spans="1:17">
      <c r="K31" s="63"/>
      <c r="L31" s="63"/>
      <c r="M31" s="63"/>
      <c r="N31" s="63"/>
      <c r="O31" s="63"/>
      <c r="P31" s="63"/>
      <c r="Q31" s="63"/>
    </row>
    <row r="32" spans="1:17">
      <c r="C32">
        <f>+C15+C16</f>
        <v>578.20984369803796</v>
      </c>
      <c r="K32" s="63"/>
      <c r="L32" s="63"/>
      <c r="M32" s="63"/>
      <c r="N32" s="63"/>
      <c r="O32" s="63"/>
      <c r="P32" s="63"/>
      <c r="Q32" s="63"/>
    </row>
    <row r="33" spans="11:17">
      <c r="K33" s="63"/>
      <c r="L33" s="63"/>
      <c r="M33" s="63"/>
      <c r="N33" s="63"/>
      <c r="O33" s="63"/>
      <c r="P33" s="63"/>
      <c r="Q33" s="63"/>
    </row>
    <row r="34" spans="11:17">
      <c r="K34" s="63"/>
      <c r="L34" s="63"/>
      <c r="M34" s="63"/>
      <c r="N34" s="63"/>
      <c r="O34" s="63"/>
      <c r="P34" s="63"/>
      <c r="Q34" s="63"/>
    </row>
    <row r="35" spans="11:17">
      <c r="K35" s="63"/>
      <c r="L35" s="63"/>
      <c r="M35" s="63"/>
      <c r="N35" s="63"/>
      <c r="O35" s="63"/>
      <c r="P35" s="63"/>
      <c r="Q35" s="63"/>
    </row>
    <row r="36" spans="11:17">
      <c r="K36" s="63"/>
      <c r="L36" s="63"/>
      <c r="M36" s="63"/>
      <c r="N36" s="63"/>
      <c r="O36" s="63"/>
      <c r="P36" s="63"/>
      <c r="Q36" s="63"/>
    </row>
    <row r="37" spans="11:17">
      <c r="K37" s="63"/>
      <c r="L37" s="63"/>
      <c r="M37" s="63"/>
      <c r="N37" s="63"/>
      <c r="O37" s="63"/>
      <c r="P37" s="63"/>
      <c r="Q37" s="63"/>
    </row>
    <row r="38" spans="11:17">
      <c r="K38" s="63"/>
      <c r="L38" s="63"/>
      <c r="M38" s="63"/>
      <c r="N38" s="63"/>
      <c r="O38" s="63"/>
      <c r="P38" s="63"/>
      <c r="Q38" s="63"/>
    </row>
    <row r="39" spans="11:17">
      <c r="K39" s="63"/>
      <c r="L39" s="63"/>
      <c r="M39" s="63"/>
      <c r="N39" s="63"/>
      <c r="O39" s="63"/>
      <c r="P39" s="63"/>
      <c r="Q39" s="63"/>
    </row>
    <row r="40" spans="11:17">
      <c r="K40" s="63"/>
      <c r="L40" s="63"/>
      <c r="M40" s="63"/>
      <c r="N40" s="63"/>
      <c r="O40" s="63"/>
      <c r="P40" s="63"/>
      <c r="Q40" s="63"/>
    </row>
    <row r="41" spans="11:17">
      <c r="K41" s="63"/>
      <c r="L41" s="63"/>
      <c r="M41" s="63"/>
      <c r="N41" s="63"/>
      <c r="O41" s="63"/>
      <c r="P41" s="63"/>
      <c r="Q41" s="63"/>
    </row>
    <row r="42" spans="11:17">
      <c r="K42" s="63"/>
      <c r="L42" s="63"/>
      <c r="M42" s="63"/>
      <c r="N42" s="63"/>
      <c r="O42" s="63"/>
      <c r="P42" s="63"/>
      <c r="Q42" s="63"/>
    </row>
    <row r="43" spans="11:17">
      <c r="K43" s="63"/>
      <c r="L43" s="63"/>
      <c r="M43" s="63"/>
      <c r="N43" s="63"/>
      <c r="O43" s="63"/>
      <c r="P43" s="63"/>
      <c r="Q43" s="63"/>
    </row>
    <row r="44" spans="11:17">
      <c r="K44" s="63"/>
      <c r="L44" s="63"/>
      <c r="M44" s="63"/>
      <c r="N44" s="63"/>
      <c r="O44" s="63"/>
      <c r="P44" s="63"/>
      <c r="Q44" s="63"/>
    </row>
    <row r="45" spans="11:17">
      <c r="K45" s="63"/>
      <c r="L45" s="63"/>
      <c r="M45" s="63"/>
      <c r="N45" s="63"/>
      <c r="O45" s="63"/>
      <c r="P45" s="63"/>
      <c r="Q45" s="63"/>
    </row>
    <row r="46" spans="11:17">
      <c r="K46" s="63"/>
      <c r="L46" s="63"/>
      <c r="M46" s="63"/>
      <c r="N46" s="63"/>
      <c r="O46" s="63"/>
      <c r="P46" s="63"/>
      <c r="Q46" s="63"/>
    </row>
    <row r="47" spans="11:17">
      <c r="K47" s="63"/>
      <c r="L47" s="63"/>
      <c r="M47" s="63"/>
      <c r="N47" s="63"/>
      <c r="O47" s="63"/>
      <c r="P47" s="63"/>
      <c r="Q47" s="63"/>
    </row>
    <row r="48" spans="11:17">
      <c r="K48" s="63"/>
      <c r="L48" s="63"/>
      <c r="M48" s="63"/>
      <c r="N48" s="63"/>
      <c r="O48" s="63"/>
      <c r="P48" s="63"/>
      <c r="Q48" s="63"/>
    </row>
    <row r="49" spans="5:17">
      <c r="K49" s="63"/>
      <c r="L49" s="63"/>
      <c r="M49" s="63"/>
      <c r="N49" s="63"/>
      <c r="O49" s="63"/>
      <c r="P49" s="63"/>
      <c r="Q49" s="63"/>
    </row>
    <row r="50" spans="5:17">
      <c r="E50">
        <v>9</v>
      </c>
      <c r="K50" s="63"/>
      <c r="L50" s="63"/>
      <c r="M50" s="63"/>
      <c r="N50" s="63"/>
      <c r="O50" s="63"/>
      <c r="P50" s="63"/>
      <c r="Q50" s="63"/>
    </row>
    <row r="51" spans="5:17">
      <c r="K51" s="63"/>
      <c r="L51" s="63"/>
      <c r="M51" s="63"/>
      <c r="N51" s="63"/>
      <c r="O51" s="63"/>
      <c r="P51" s="63"/>
      <c r="Q51" s="63"/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0"/>
  <sheetViews>
    <sheetView topLeftCell="E1" workbookViewId="0">
      <selection activeCell="H1" sqref="H1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273.20385766544729</v>
      </c>
    </row>
    <row r="4" spans="1:24" s="2" customFormat="1">
      <c r="A4" s="3" t="s">
        <v>14</v>
      </c>
      <c r="B4" s="12">
        <f>+(H13+H14+H15)/$C$4</f>
        <v>1607.2294909750742</v>
      </c>
      <c r="C4" s="4">
        <v>104.71</v>
      </c>
      <c r="D4" s="5">
        <f>B4*C4</f>
        <v>168293</v>
      </c>
      <c r="E4" s="6">
        <v>0</v>
      </c>
      <c r="F4" s="7">
        <f>+E4*C4</f>
        <v>0</v>
      </c>
      <c r="G4" s="9">
        <f>+(H8*60%)/$C$4</f>
        <v>474.66005157100562</v>
      </c>
      <c r="H4" s="7">
        <f>+G4*C4</f>
        <v>49701.653999999995</v>
      </c>
      <c r="I4" s="6">
        <f>J4/C4</f>
        <v>0</v>
      </c>
      <c r="J4" s="7">
        <v>0</v>
      </c>
      <c r="K4" s="8">
        <f>+L8/$C$4</f>
        <v>118.54646165600229</v>
      </c>
      <c r="L4" s="7">
        <f>+K4*C4</f>
        <v>12413</v>
      </c>
      <c r="M4" s="9">
        <f>+(N8*60%)/$C$4</f>
        <v>560.13022633941364</v>
      </c>
      <c r="N4" s="7">
        <f>+M4*C4</f>
        <v>58651.235999999997</v>
      </c>
      <c r="O4" s="9"/>
      <c r="P4" s="7">
        <f>+O4*C4</f>
        <v>0</v>
      </c>
      <c r="Q4" s="6">
        <v>453.89275140865266</v>
      </c>
      <c r="R4" s="7">
        <f>+Q4*C4</f>
        <v>47527.110000000015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1852.9542179359273</v>
      </c>
      <c r="C5" s="4">
        <v>90.21</v>
      </c>
      <c r="D5" s="5">
        <f>B5*C5</f>
        <v>167155</v>
      </c>
      <c r="E5" s="6">
        <v>0</v>
      </c>
      <c r="F5" s="7">
        <f>+E5*C5</f>
        <v>0</v>
      </c>
      <c r="G5" s="6">
        <f>+(H8*40%)/$C$5</f>
        <v>367.30335882939812</v>
      </c>
      <c r="H5" s="7">
        <f>+G5*C5</f>
        <v>33134.436000000002</v>
      </c>
      <c r="I5" s="6">
        <f>+J8/C5</f>
        <v>30.816982596164507</v>
      </c>
      <c r="J5" s="7">
        <f>+I5*C5</f>
        <v>2780</v>
      </c>
      <c r="K5" s="6">
        <v>0</v>
      </c>
      <c r="L5" s="7">
        <f>+K5*C5</f>
        <v>0</v>
      </c>
      <c r="M5" s="6">
        <f>+(N8*40%)/$C$5</f>
        <v>433.44223478550055</v>
      </c>
      <c r="N5" s="7">
        <f>+M5*C5</f>
        <v>39100.824000000001</v>
      </c>
      <c r="O5" s="9">
        <f>+P8/C5</f>
        <v>0</v>
      </c>
      <c r="P5" s="7">
        <f>+O5*C5</f>
        <v>0</v>
      </c>
      <c r="Q5" s="6">
        <v>748.18778405941691</v>
      </c>
      <c r="R5" s="7">
        <f>+Q5*C5</f>
        <v>67494.01999999999</v>
      </c>
      <c r="S5" s="10">
        <f>+X3</f>
        <v>273.20385766544729</v>
      </c>
      <c r="T5" s="7">
        <f>+S5*C5</f>
        <v>24645.719999999998</v>
      </c>
      <c r="U5" s="11">
        <f>+B5-E5-G5-Q5-S5-K5-I5-M5-O5</f>
        <v>-5.6843418860808015E-14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24.867021276595747</v>
      </c>
      <c r="C6" s="4">
        <v>112.8</v>
      </c>
      <c r="D6" s="5">
        <f>B6*C6</f>
        <v>2805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24.867021276595747</v>
      </c>
      <c r="R6" s="7">
        <f>+Q6*C6</f>
        <v>2805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3485.0507301875969</v>
      </c>
      <c r="C7" s="3"/>
      <c r="D7" s="13">
        <f t="shared" ref="D7:T7" si="0">SUM(D4:D6)</f>
        <v>338253</v>
      </c>
      <c r="E7" s="14">
        <f t="shared" si="0"/>
        <v>0</v>
      </c>
      <c r="F7" s="15">
        <f t="shared" si="0"/>
        <v>0</v>
      </c>
      <c r="G7" s="14">
        <f t="shared" si="0"/>
        <v>841.96341040040375</v>
      </c>
      <c r="H7" s="15">
        <f t="shared" si="0"/>
        <v>82836.09</v>
      </c>
      <c r="I7" s="14">
        <f t="shared" si="0"/>
        <v>30.816982596164507</v>
      </c>
      <c r="J7" s="15">
        <f t="shared" si="0"/>
        <v>2780</v>
      </c>
      <c r="K7" s="14">
        <f t="shared" si="0"/>
        <v>118.54646165600229</v>
      </c>
      <c r="L7" s="15">
        <f t="shared" si="0"/>
        <v>12413</v>
      </c>
      <c r="M7" s="14">
        <f t="shared" si="0"/>
        <v>993.57246112491418</v>
      </c>
      <c r="N7" s="15">
        <f t="shared" si="0"/>
        <v>97752.06</v>
      </c>
      <c r="O7" s="14">
        <f t="shared" si="0"/>
        <v>0</v>
      </c>
      <c r="P7" s="15">
        <f t="shared" si="0"/>
        <v>0</v>
      </c>
      <c r="Q7" s="14">
        <f t="shared" si="0"/>
        <v>1226.9475567446655</v>
      </c>
      <c r="R7" s="15">
        <f t="shared" si="0"/>
        <v>117826.13</v>
      </c>
      <c r="S7" s="14">
        <f t="shared" si="0"/>
        <v>273.20385766544729</v>
      </c>
      <c r="T7" s="15">
        <f t="shared" si="0"/>
        <v>24645.719999999998</v>
      </c>
      <c r="U7" s="11">
        <f>+B7-E7-G7-Q7-S7-K7-I7-M7-O7</f>
        <v>-3.4106051316484809E-13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82836.09</v>
      </c>
      <c r="I8" s="18"/>
      <c r="J8" s="19">
        <v>2780</v>
      </c>
      <c r="K8" s="18"/>
      <c r="L8" s="19">
        <v>12413</v>
      </c>
      <c r="M8" s="20"/>
      <c r="N8" s="19">
        <v>97752.06</v>
      </c>
      <c r="O8" s="20" t="s">
        <v>19</v>
      </c>
      <c r="P8" s="19">
        <v>0</v>
      </c>
      <c r="Q8" s="18">
        <v>0</v>
      </c>
      <c r="R8" s="19">
        <v>114525</v>
      </c>
      <c r="S8" s="18"/>
      <c r="T8" s="19">
        <v>27946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3301.1300000000047</v>
      </c>
      <c r="S9" s="21"/>
      <c r="T9" s="22">
        <f>+T7-T8</f>
        <v>-3300.2800000000025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0.85000000000582077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86061</v>
      </c>
      <c r="I13" s="36">
        <v>35818</v>
      </c>
      <c r="J13" s="60">
        <v>2805</v>
      </c>
      <c r="K13" s="63"/>
      <c r="L13" s="63"/>
      <c r="M13" s="63"/>
      <c r="N13" s="63"/>
      <c r="O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82232</v>
      </c>
      <c r="I14" s="36">
        <v>32733</v>
      </c>
      <c r="J14" s="60"/>
      <c r="K14" s="64"/>
      <c r="L14" s="64"/>
      <c r="M14" s="64"/>
      <c r="N14" s="63"/>
      <c r="O14" s="63"/>
    </row>
    <row r="15" spans="1:24">
      <c r="A15" s="33" t="s">
        <v>40</v>
      </c>
      <c r="B15" s="34" t="s">
        <v>13</v>
      </c>
      <c r="C15" s="29">
        <f t="shared" ref="C15:C25" si="1">+E15/D15</f>
        <v>132.28999002327902</v>
      </c>
      <c r="D15" s="30">
        <f t="shared" ref="D15:D25" si="2">+VLOOKUP(B15,A$4:C$6,3,0)</f>
        <v>90.21</v>
      </c>
      <c r="E15" s="42">
        <v>11933.88</v>
      </c>
      <c r="F15" s="34">
        <v>22393</v>
      </c>
      <c r="H15" s="36"/>
      <c r="I15" s="36">
        <v>98604</v>
      </c>
      <c r="J15" s="61"/>
      <c r="K15" s="65"/>
      <c r="L15" s="63"/>
      <c r="M15" s="63"/>
      <c r="N15" s="63"/>
      <c r="O15" s="63"/>
      <c r="V15">
        <f>2123+9236+3417.23+18069.1</f>
        <v>32845.33</v>
      </c>
    </row>
    <row r="16" spans="1:24">
      <c r="A16" s="33" t="s">
        <v>33</v>
      </c>
      <c r="B16" s="34" t="s">
        <v>13</v>
      </c>
      <c r="C16" s="29">
        <f t="shared" si="1"/>
        <v>93.249972286886162</v>
      </c>
      <c r="D16" s="30">
        <f t="shared" si="2"/>
        <v>90.21</v>
      </c>
      <c r="E16" s="42">
        <v>8412.08</v>
      </c>
      <c r="F16" s="34">
        <v>22397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</row>
    <row r="17" spans="1:15">
      <c r="A17" s="33" t="s">
        <v>36</v>
      </c>
      <c r="B17" s="34" t="s">
        <v>13</v>
      </c>
      <c r="C17" s="29">
        <f t="shared" si="1"/>
        <v>43.229907992462039</v>
      </c>
      <c r="D17" s="30">
        <f t="shared" si="2"/>
        <v>90.21</v>
      </c>
      <c r="E17" s="44">
        <v>3899.77</v>
      </c>
      <c r="F17" s="34">
        <v>22398</v>
      </c>
      <c r="H17" s="28"/>
      <c r="K17" s="65"/>
      <c r="L17" s="63"/>
      <c r="M17" s="63"/>
      <c r="N17" s="63"/>
      <c r="O17" s="63"/>
    </row>
    <row r="18" spans="1:15">
      <c r="A18" s="33" t="s">
        <v>30</v>
      </c>
      <c r="B18" s="34" t="s">
        <v>13</v>
      </c>
      <c r="C18" s="29">
        <f t="shared" si="1"/>
        <v>4.433987362820087</v>
      </c>
      <c r="D18" s="30">
        <f t="shared" si="2"/>
        <v>90.21</v>
      </c>
      <c r="E18" s="44">
        <v>399.99</v>
      </c>
      <c r="F18" s="34">
        <v>22399</v>
      </c>
      <c r="K18" s="63"/>
      <c r="L18" s="63"/>
      <c r="M18" s="63"/>
      <c r="N18" s="63"/>
      <c r="O18" s="63"/>
    </row>
    <row r="19" spans="1:15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  <c r="O19" s="63"/>
    </row>
    <row r="20" spans="1:15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  <c r="O20" s="63"/>
    </row>
    <row r="21" spans="1:15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</row>
    <row r="22" spans="1:15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</row>
    <row r="23" spans="1:15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</row>
    <row r="24" spans="1:15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</row>
    <row r="25" spans="1:15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</row>
    <row r="26" spans="1:15">
      <c r="A26" s="30"/>
      <c r="B26" s="30"/>
      <c r="C26" s="29">
        <f>SUM(C15:C25)</f>
        <v>273.20385766544729</v>
      </c>
      <c r="D26" s="29"/>
      <c r="E26" s="29">
        <f>SUM(E15:E25)</f>
        <v>24645.72</v>
      </c>
      <c r="F26" s="30"/>
      <c r="K26" s="63"/>
      <c r="L26" s="63"/>
      <c r="M26" s="63"/>
      <c r="N26" s="63"/>
      <c r="O26" s="63"/>
    </row>
    <row r="32" spans="1:15">
      <c r="C32">
        <f>+C15+C16</f>
        <v>225.53996231016518</v>
      </c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50"/>
  <sheetViews>
    <sheetView topLeftCell="F1" workbookViewId="0">
      <selection activeCell="S4" sqref="S4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569.08979048885931</v>
      </c>
    </row>
    <row r="4" spans="1:24" s="2" customFormat="1">
      <c r="A4" s="3" t="s">
        <v>14</v>
      </c>
      <c r="B4" s="12">
        <f>+(H13+H14+H15)/$C$4</f>
        <v>1477.8817686944897</v>
      </c>
      <c r="C4" s="4">
        <v>104.71</v>
      </c>
      <c r="D4" s="5">
        <f>B4*C4</f>
        <v>154749</v>
      </c>
      <c r="E4" s="6">
        <v>0</v>
      </c>
      <c r="F4" s="7">
        <f>+E4*C4</f>
        <v>0</v>
      </c>
      <c r="G4" s="9">
        <f>+(H8*60%)/$C$4</f>
        <v>434.17245726291662</v>
      </c>
      <c r="H4" s="7">
        <f>+G4*C4</f>
        <v>45462.197999999997</v>
      </c>
      <c r="I4" s="6">
        <f>J4/C4</f>
        <v>0</v>
      </c>
      <c r="J4" s="7">
        <v>0</v>
      </c>
      <c r="K4" s="8">
        <f>+L8/$C$4</f>
        <v>11.173717887498807</v>
      </c>
      <c r="L4" s="7">
        <f>+K4*C4</f>
        <v>1170</v>
      </c>
      <c r="M4" s="9">
        <f>+(N8*60%)/$C$4</f>
        <v>564.55135135135129</v>
      </c>
      <c r="N4" s="7">
        <f>+M4*C4</f>
        <v>59114.171999999991</v>
      </c>
      <c r="O4" s="9"/>
      <c r="P4" s="7">
        <f>+O4*C4</f>
        <v>0</v>
      </c>
      <c r="Q4" s="6">
        <v>467.98424219272306</v>
      </c>
      <c r="R4" s="7">
        <f>+Q4*C4</f>
        <v>49002.630000000026</v>
      </c>
      <c r="S4" s="10">
        <f>+X4</f>
        <v>0</v>
      </c>
      <c r="T4" s="7">
        <f>+S4*C4</f>
        <v>0</v>
      </c>
      <c r="U4" s="11">
        <f>+B4-E4-G4-Q4-S4-K4-I4-M4-O4</f>
        <v>-1.1368683772161603E-13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1991.4200199534421</v>
      </c>
      <c r="C5" s="4">
        <v>90.21</v>
      </c>
      <c r="D5" s="5">
        <f>B5*C5</f>
        <v>179646</v>
      </c>
      <c r="E5" s="6">
        <v>0</v>
      </c>
      <c r="F5" s="7">
        <f>+E5*C5</f>
        <v>0</v>
      </c>
      <c r="G5" s="6">
        <f>+(H8*40%)/$C$5</f>
        <v>335.97308502383333</v>
      </c>
      <c r="H5" s="7">
        <f>+G5*C5</f>
        <v>30308.132000000001</v>
      </c>
      <c r="I5" s="6">
        <f>+J8/C5</f>
        <v>31.814654694601487</v>
      </c>
      <c r="J5" s="7">
        <f>+I5*C5</f>
        <v>2870</v>
      </c>
      <c r="K5" s="6">
        <v>0</v>
      </c>
      <c r="L5" s="7">
        <f>+K5*C5</f>
        <v>0</v>
      </c>
      <c r="M5" s="6">
        <f>+(N8*40%)/$C$5</f>
        <v>436.86340760447854</v>
      </c>
      <c r="N5" s="7">
        <f>+M5*C5</f>
        <v>39409.448000000004</v>
      </c>
      <c r="O5" s="9">
        <f>+P8/C5</f>
        <v>0</v>
      </c>
      <c r="P5" s="7">
        <f>+O5*C5</f>
        <v>0</v>
      </c>
      <c r="Q5" s="6">
        <v>617.67908214166926</v>
      </c>
      <c r="R5" s="7">
        <f>+Q5*C5</f>
        <v>55720.82999999998</v>
      </c>
      <c r="S5" s="10">
        <f>+X3</f>
        <v>569.08979048885931</v>
      </c>
      <c r="T5" s="7">
        <f>+S5*C5</f>
        <v>51337.59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51.666666666666671</v>
      </c>
      <c r="C6" s="4">
        <v>112.8</v>
      </c>
      <c r="D6" s="5">
        <f>B6*C6</f>
        <v>5828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51.666666666666671</v>
      </c>
      <c r="R6" s="7">
        <f>+Q6*C6</f>
        <v>5828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3520.9684553145985</v>
      </c>
      <c r="C7" s="3"/>
      <c r="D7" s="13">
        <f t="shared" ref="D7:T7" si="0">SUM(D4:D6)</f>
        <v>340223</v>
      </c>
      <c r="E7" s="14">
        <f t="shared" si="0"/>
        <v>0</v>
      </c>
      <c r="F7" s="15">
        <f t="shared" si="0"/>
        <v>0</v>
      </c>
      <c r="G7" s="14">
        <f t="shared" si="0"/>
        <v>770.14554228675001</v>
      </c>
      <c r="H7" s="15">
        <f t="shared" si="0"/>
        <v>75770.33</v>
      </c>
      <c r="I7" s="14">
        <f t="shared" si="0"/>
        <v>31.814654694601487</v>
      </c>
      <c r="J7" s="15">
        <f t="shared" si="0"/>
        <v>2870</v>
      </c>
      <c r="K7" s="14">
        <f t="shared" si="0"/>
        <v>11.173717887498807</v>
      </c>
      <c r="L7" s="15">
        <f t="shared" si="0"/>
        <v>1170</v>
      </c>
      <c r="M7" s="14">
        <f t="shared" si="0"/>
        <v>1001.4147589558298</v>
      </c>
      <c r="N7" s="15">
        <f t="shared" si="0"/>
        <v>98523.62</v>
      </c>
      <c r="O7" s="14">
        <f t="shared" si="0"/>
        <v>0</v>
      </c>
      <c r="P7" s="15">
        <f t="shared" si="0"/>
        <v>0</v>
      </c>
      <c r="Q7" s="14">
        <f t="shared" si="0"/>
        <v>1137.3299910010589</v>
      </c>
      <c r="R7" s="15">
        <f t="shared" si="0"/>
        <v>110551.46</v>
      </c>
      <c r="S7" s="14">
        <f t="shared" si="0"/>
        <v>569.08979048885931</v>
      </c>
      <c r="T7" s="15">
        <f t="shared" si="0"/>
        <v>51337.59</v>
      </c>
      <c r="U7" s="11">
        <f>+B7-E7-G7-Q7-S7-K7-I7-M7-O7</f>
        <v>4.5474735088646412E-13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75770.33</v>
      </c>
      <c r="I8" s="18"/>
      <c r="J8" s="19">
        <v>2870</v>
      </c>
      <c r="K8" s="18"/>
      <c r="L8" s="19">
        <v>1170</v>
      </c>
      <c r="M8" s="20"/>
      <c r="N8" s="19">
        <v>98523.62</v>
      </c>
      <c r="O8" s="20" t="s">
        <v>19</v>
      </c>
      <c r="P8" s="19">
        <v>0</v>
      </c>
      <c r="Q8" s="18">
        <v>0</v>
      </c>
      <c r="R8" s="19">
        <v>110051</v>
      </c>
      <c r="S8" s="18"/>
      <c r="T8" s="19">
        <v>51838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500.4600000000064</v>
      </c>
      <c r="S9" s="21"/>
      <c r="T9" s="22">
        <f>+T7-T8</f>
        <v>-500.41000000000349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4.9999999988358468E-2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76882</v>
      </c>
      <c r="I13" s="36">
        <v>66243</v>
      </c>
      <c r="J13" s="60">
        <v>5828</v>
      </c>
      <c r="K13" s="63"/>
      <c r="L13" s="63"/>
      <c r="M13" s="63"/>
      <c r="N13" s="63"/>
      <c r="O13" s="63"/>
      <c r="P13" s="63"/>
      <c r="Q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77867</v>
      </c>
      <c r="I14" s="36">
        <v>47298</v>
      </c>
      <c r="J14" s="60"/>
      <c r="K14" s="64"/>
      <c r="L14" s="64"/>
      <c r="M14" s="64"/>
      <c r="N14" s="63"/>
      <c r="O14" s="63"/>
      <c r="P14" s="63"/>
      <c r="Q14" s="63"/>
    </row>
    <row r="15" spans="1:24">
      <c r="A15" s="33" t="s">
        <v>30</v>
      </c>
      <c r="B15" s="34" t="s">
        <v>13</v>
      </c>
      <c r="C15" s="29">
        <f t="shared" ref="C15:C25" si="1">+E15/D15</f>
        <v>218.66999224032816</v>
      </c>
      <c r="D15" s="30">
        <f t="shared" ref="D15:D25" si="2">+VLOOKUP(B15,A$4:C$6,3,0)</f>
        <v>90.21</v>
      </c>
      <c r="E15" s="42">
        <v>19726.22</v>
      </c>
      <c r="F15" s="34">
        <v>22401</v>
      </c>
      <c r="H15" s="36"/>
      <c r="I15" s="36">
        <v>66105</v>
      </c>
      <c r="J15" s="61"/>
      <c r="K15" s="65"/>
      <c r="L15" s="63"/>
      <c r="M15" s="63"/>
      <c r="N15" s="63"/>
      <c r="O15" s="63"/>
      <c r="P15" s="63"/>
      <c r="Q15" s="63"/>
      <c r="V15">
        <f>2123+9236+3417.23+18069.1</f>
        <v>32845.33</v>
      </c>
    </row>
    <row r="16" spans="1:24">
      <c r="A16" s="33" t="s">
        <v>34</v>
      </c>
      <c r="B16" s="34" t="s">
        <v>13</v>
      </c>
      <c r="C16" s="29">
        <f t="shared" si="1"/>
        <v>55.249972286886162</v>
      </c>
      <c r="D16" s="30">
        <f t="shared" si="2"/>
        <v>90.21</v>
      </c>
      <c r="E16" s="42">
        <v>4984.1000000000004</v>
      </c>
      <c r="F16" s="34">
        <v>22402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</row>
    <row r="17" spans="1:17">
      <c r="A17" s="33" t="s">
        <v>34</v>
      </c>
      <c r="B17" s="34" t="s">
        <v>13</v>
      </c>
      <c r="C17" s="29">
        <f t="shared" si="1"/>
        <v>268.55991575213392</v>
      </c>
      <c r="D17" s="30">
        <f t="shared" si="2"/>
        <v>90.21</v>
      </c>
      <c r="E17" s="44">
        <v>24226.79</v>
      </c>
      <c r="F17" s="34">
        <v>22405</v>
      </c>
      <c r="H17" s="28"/>
      <c r="K17" s="65"/>
      <c r="L17" s="63"/>
      <c r="M17" s="63"/>
      <c r="N17" s="63"/>
      <c r="O17" s="63"/>
      <c r="P17" s="63"/>
      <c r="Q17" s="63"/>
    </row>
    <row r="18" spans="1:17">
      <c r="A18" s="33" t="s">
        <v>36</v>
      </c>
      <c r="B18" s="34" t="s">
        <v>13</v>
      </c>
      <c r="C18" s="29">
        <f t="shared" si="1"/>
        <v>26.609910209511142</v>
      </c>
      <c r="D18" s="30">
        <f t="shared" si="2"/>
        <v>90.21</v>
      </c>
      <c r="E18" s="44">
        <v>2400.48</v>
      </c>
      <c r="F18" s="34">
        <v>22407</v>
      </c>
      <c r="K18" s="63"/>
      <c r="L18" s="63"/>
      <c r="M18" s="63"/>
      <c r="N18" s="63"/>
      <c r="O18" s="63"/>
      <c r="P18" s="63"/>
      <c r="Q18" s="63"/>
    </row>
    <row r="19" spans="1:17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  <c r="O19" s="63"/>
      <c r="P19" s="63"/>
      <c r="Q19" s="63"/>
    </row>
    <row r="20" spans="1:17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  <c r="O20" s="63"/>
      <c r="P20" s="63"/>
      <c r="Q20" s="63"/>
    </row>
    <row r="21" spans="1:17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  <c r="Q21" s="63"/>
    </row>
    <row r="22" spans="1:17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  <c r="Q22" s="63"/>
    </row>
    <row r="23" spans="1:1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  <c r="Q23" s="63"/>
    </row>
    <row r="24" spans="1:1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  <c r="Q24" s="63"/>
    </row>
    <row r="25" spans="1:1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  <c r="Q25" s="63"/>
    </row>
    <row r="26" spans="1:17">
      <c r="A26" s="30"/>
      <c r="B26" s="30"/>
      <c r="C26" s="29">
        <f>SUM(C15:C25)</f>
        <v>569.08979048885931</v>
      </c>
      <c r="D26" s="29"/>
      <c r="E26" s="29">
        <f>SUM(E15:E25)</f>
        <v>51337.590000000004</v>
      </c>
      <c r="F26" s="30"/>
      <c r="K26" s="63"/>
      <c r="L26" s="63"/>
      <c r="M26" s="63"/>
      <c r="N26" s="63"/>
      <c r="O26" s="63"/>
      <c r="P26" s="63"/>
      <c r="Q26" s="63"/>
    </row>
    <row r="27" spans="1:17">
      <c r="K27" s="63"/>
      <c r="L27" s="63"/>
      <c r="M27" s="63"/>
      <c r="N27" s="63"/>
      <c r="O27" s="63"/>
      <c r="P27" s="63"/>
      <c r="Q27" s="63"/>
    </row>
    <row r="28" spans="1:17">
      <c r="K28" s="63"/>
      <c r="L28" s="63"/>
      <c r="M28" s="63"/>
      <c r="N28" s="63"/>
      <c r="O28" s="63"/>
      <c r="P28" s="63"/>
      <c r="Q28" s="63"/>
    </row>
    <row r="29" spans="1:17">
      <c r="K29" s="63"/>
      <c r="L29" s="63"/>
      <c r="M29" s="63"/>
      <c r="N29" s="63"/>
      <c r="O29" s="63"/>
      <c r="P29" s="63"/>
      <c r="Q29" s="63"/>
    </row>
    <row r="30" spans="1:17">
      <c r="K30" s="63"/>
      <c r="L30" s="63"/>
      <c r="M30" s="63"/>
      <c r="N30" s="63"/>
      <c r="O30" s="63"/>
      <c r="P30" s="63"/>
      <c r="Q30" s="63"/>
    </row>
    <row r="31" spans="1:17">
      <c r="K31" s="63"/>
      <c r="L31" s="63"/>
      <c r="M31" s="63"/>
      <c r="N31" s="63"/>
      <c r="O31" s="63"/>
      <c r="P31" s="63"/>
      <c r="Q31" s="63"/>
    </row>
    <row r="32" spans="1:17">
      <c r="C32">
        <f>+C15+C16</f>
        <v>273.91996452721435</v>
      </c>
      <c r="K32" s="63"/>
      <c r="L32" s="63"/>
      <c r="M32" s="63"/>
      <c r="N32" s="63"/>
      <c r="O32" s="63"/>
      <c r="P32" s="63"/>
      <c r="Q32" s="63"/>
    </row>
    <row r="33" spans="11:17">
      <c r="K33" s="63"/>
      <c r="L33" s="63"/>
      <c r="M33" s="63"/>
      <c r="N33" s="63"/>
      <c r="O33" s="63"/>
      <c r="P33" s="63"/>
      <c r="Q33" s="63"/>
    </row>
    <row r="34" spans="11:17">
      <c r="K34" s="63"/>
      <c r="L34" s="63"/>
      <c r="M34" s="63"/>
      <c r="N34" s="63"/>
      <c r="O34" s="63"/>
      <c r="P34" s="63"/>
      <c r="Q34" s="63"/>
    </row>
    <row r="35" spans="11:17">
      <c r="K35" s="63"/>
      <c r="L35" s="63"/>
      <c r="M35" s="63"/>
      <c r="N35" s="63"/>
      <c r="O35" s="63"/>
      <c r="P35" s="63"/>
      <c r="Q35" s="63"/>
    </row>
    <row r="36" spans="11:17">
      <c r="K36" s="63"/>
      <c r="L36" s="63"/>
      <c r="M36" s="63"/>
      <c r="N36" s="63"/>
      <c r="O36" s="63"/>
      <c r="P36" s="63"/>
      <c r="Q36" s="63"/>
    </row>
    <row r="37" spans="11:17">
      <c r="K37" s="63"/>
      <c r="L37" s="63"/>
      <c r="M37" s="63"/>
      <c r="N37" s="63"/>
      <c r="O37" s="63"/>
      <c r="P37" s="63"/>
      <c r="Q37" s="63"/>
    </row>
    <row r="38" spans="11:17">
      <c r="K38" s="63"/>
      <c r="L38" s="63"/>
      <c r="M38" s="63"/>
      <c r="N38" s="63"/>
      <c r="O38" s="63"/>
      <c r="P38" s="63"/>
      <c r="Q38" s="63"/>
    </row>
    <row r="39" spans="11:17">
      <c r="K39" s="63"/>
      <c r="L39" s="63"/>
      <c r="M39" s="63"/>
      <c r="N39" s="63"/>
      <c r="O39" s="63"/>
      <c r="P39" s="63"/>
      <c r="Q39" s="63"/>
    </row>
    <row r="40" spans="11:17">
      <c r="K40" s="63"/>
      <c r="L40" s="63"/>
      <c r="M40" s="63"/>
      <c r="N40" s="63"/>
      <c r="O40" s="63"/>
      <c r="P40" s="63"/>
      <c r="Q40" s="63"/>
    </row>
    <row r="41" spans="11:17">
      <c r="K41" s="63"/>
      <c r="L41" s="63"/>
      <c r="M41" s="63"/>
      <c r="N41" s="63"/>
      <c r="O41" s="63"/>
      <c r="P41" s="63"/>
      <c r="Q41" s="63"/>
    </row>
    <row r="42" spans="11:17">
      <c r="K42" s="63"/>
      <c r="L42" s="63"/>
      <c r="M42" s="63"/>
      <c r="N42" s="63"/>
      <c r="O42" s="63"/>
      <c r="P42" s="63"/>
      <c r="Q42" s="63"/>
    </row>
    <row r="43" spans="11:17">
      <c r="K43" s="63"/>
      <c r="L43" s="63"/>
      <c r="M43" s="63"/>
      <c r="N43" s="63"/>
      <c r="O43" s="63"/>
      <c r="P43" s="63"/>
      <c r="Q43" s="63"/>
    </row>
    <row r="44" spans="11:17">
      <c r="K44" s="63"/>
      <c r="L44" s="63"/>
      <c r="M44" s="63"/>
      <c r="N44" s="63"/>
      <c r="O44" s="63"/>
      <c r="P44" s="63"/>
      <c r="Q44" s="63"/>
    </row>
    <row r="45" spans="11:17">
      <c r="K45" s="63"/>
      <c r="L45" s="63"/>
      <c r="M45" s="63"/>
      <c r="N45" s="63"/>
      <c r="O45" s="63"/>
      <c r="P45" s="63"/>
      <c r="Q45" s="63"/>
    </row>
    <row r="46" spans="11:17">
      <c r="K46" s="63"/>
      <c r="L46" s="63"/>
      <c r="M46" s="63"/>
      <c r="N46" s="63"/>
      <c r="O46" s="63"/>
      <c r="P46" s="63"/>
      <c r="Q46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0"/>
  <sheetViews>
    <sheetView topLeftCell="M1" workbookViewId="0">
      <selection activeCell="M2" sqref="M2:N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327.01995344196877</v>
      </c>
    </row>
    <row r="4" spans="1:24" s="2" customFormat="1">
      <c r="A4" s="3" t="s">
        <v>14</v>
      </c>
      <c r="B4" s="12">
        <f>+(H13+H14+H15)/$C$4</f>
        <v>1616.8560786935345</v>
      </c>
      <c r="C4" s="4">
        <v>104.71</v>
      </c>
      <c r="D4" s="5">
        <f>B4*C4</f>
        <v>169301</v>
      </c>
      <c r="E4" s="6">
        <v>0</v>
      </c>
      <c r="F4" s="7">
        <f>+E4*C4</f>
        <v>0</v>
      </c>
      <c r="G4" s="9">
        <f>+(H8*60%)/$C$4</f>
        <v>367.14613694967056</v>
      </c>
      <c r="H4" s="7">
        <f>+G4*C4</f>
        <v>38443.872000000003</v>
      </c>
      <c r="I4" s="6">
        <f>J4/C4</f>
        <v>0</v>
      </c>
      <c r="J4" s="7">
        <v>0</v>
      </c>
      <c r="K4" s="8">
        <f>+L8/$C$4</f>
        <v>138.47770031515614</v>
      </c>
      <c r="L4" s="7">
        <f>+K4*C4</f>
        <v>14499.999999999998</v>
      </c>
      <c r="M4" s="9">
        <f>+(N8*60%)/$C$4</f>
        <v>469.80452678827237</v>
      </c>
      <c r="N4" s="7">
        <f>+M4*C4</f>
        <v>49193.231999999996</v>
      </c>
      <c r="O4" s="9"/>
      <c r="P4" s="7">
        <f>+O4*C4</f>
        <v>0</v>
      </c>
      <c r="Q4" s="6">
        <v>641.4277146404354</v>
      </c>
      <c r="R4" s="7">
        <f>+Q4*C4</f>
        <v>67163.895999999993</v>
      </c>
      <c r="S4" s="10">
        <f>+X4</f>
        <v>0</v>
      </c>
      <c r="T4" s="7">
        <f>+S4*C4</f>
        <v>0</v>
      </c>
      <c r="U4" s="11">
        <f>+B4-E4-G4-Q4-S4-K4-I4-M4-O4</f>
        <v>5.6843418860808015E-14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1635.5503824409711</v>
      </c>
      <c r="C5" s="4">
        <v>90.21</v>
      </c>
      <c r="D5" s="5">
        <f>B5*C5</f>
        <v>147543</v>
      </c>
      <c r="E5" s="6">
        <v>0</v>
      </c>
      <c r="F5" s="7">
        <f>+E5*C5</f>
        <v>0</v>
      </c>
      <c r="G5" s="6">
        <f>+(H8*40%)/$C$5</f>
        <v>284.10650703913097</v>
      </c>
      <c r="H5" s="7">
        <f>+G5*C5</f>
        <v>25629.248000000003</v>
      </c>
      <c r="I5" s="6">
        <f>+J8/C5</f>
        <v>33.543952998558922</v>
      </c>
      <c r="J5" s="7">
        <f>+I5*C5</f>
        <v>3026</v>
      </c>
      <c r="K5" s="6">
        <v>0</v>
      </c>
      <c r="L5" s="7">
        <f>+K5*C5</f>
        <v>0</v>
      </c>
      <c r="M5" s="6">
        <f>+(N8*40%)/$C$5</f>
        <v>363.54603702472019</v>
      </c>
      <c r="N5" s="7">
        <f>+M5*C5</f>
        <v>32795.488000000005</v>
      </c>
      <c r="O5" s="9">
        <f>+P8/C5</f>
        <v>0</v>
      </c>
      <c r="P5" s="7">
        <f>+O5*C5</f>
        <v>0</v>
      </c>
      <c r="Q5" s="6">
        <v>627.33393193659231</v>
      </c>
      <c r="R5" s="7">
        <f>+Q5*C5</f>
        <v>56591.793999999987</v>
      </c>
      <c r="S5" s="10">
        <f>+X3</f>
        <v>327.01995344196877</v>
      </c>
      <c r="T5" s="7">
        <f>+S5*C5</f>
        <v>29500.47</v>
      </c>
      <c r="U5" s="11">
        <f>+B5-E5-G5-Q5-S5-K5-I5-M5-O5</f>
        <v>-5.6843418860808015E-14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14.547872340425533</v>
      </c>
      <c r="C6" s="4">
        <v>112.8</v>
      </c>
      <c r="D6" s="5">
        <f>B6*C6</f>
        <v>1641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14.547872340425533</v>
      </c>
      <c r="R6" s="7">
        <f>+Q6*C6</f>
        <v>1641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3266.954333474931</v>
      </c>
      <c r="C7" s="3"/>
      <c r="D7" s="13">
        <f t="shared" ref="D7:T7" si="0">SUM(D4:D6)</f>
        <v>318485</v>
      </c>
      <c r="E7" s="14">
        <f t="shared" si="0"/>
        <v>0</v>
      </c>
      <c r="F7" s="15">
        <f t="shared" si="0"/>
        <v>0</v>
      </c>
      <c r="G7" s="14">
        <f t="shared" si="0"/>
        <v>651.25264398880154</v>
      </c>
      <c r="H7" s="15">
        <f t="shared" si="0"/>
        <v>64073.12000000001</v>
      </c>
      <c r="I7" s="14">
        <f t="shared" si="0"/>
        <v>33.543952998558922</v>
      </c>
      <c r="J7" s="15">
        <f t="shared" si="0"/>
        <v>3026</v>
      </c>
      <c r="K7" s="14">
        <f t="shared" si="0"/>
        <v>138.47770031515614</v>
      </c>
      <c r="L7" s="15">
        <f t="shared" si="0"/>
        <v>14499.999999999998</v>
      </c>
      <c r="M7" s="14">
        <f t="shared" si="0"/>
        <v>833.3505638129925</v>
      </c>
      <c r="N7" s="15">
        <f t="shared" si="0"/>
        <v>81988.72</v>
      </c>
      <c r="O7" s="14">
        <f t="shared" si="0"/>
        <v>0</v>
      </c>
      <c r="P7" s="15">
        <f t="shared" si="0"/>
        <v>0</v>
      </c>
      <c r="Q7" s="14">
        <f t="shared" si="0"/>
        <v>1283.3095189174533</v>
      </c>
      <c r="R7" s="15">
        <f t="shared" si="0"/>
        <v>125396.68999999997</v>
      </c>
      <c r="S7" s="14">
        <f t="shared" si="0"/>
        <v>327.01995344196877</v>
      </c>
      <c r="T7" s="15">
        <f t="shared" si="0"/>
        <v>29500.47</v>
      </c>
      <c r="U7" s="11">
        <f>+B7-E7-G7-Q7-S7-K7-I7-M7-O7</f>
        <v>-1.1368683772161603E-13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64073.120000000003</v>
      </c>
      <c r="I8" s="18"/>
      <c r="J8" s="19">
        <v>3026</v>
      </c>
      <c r="K8" s="18"/>
      <c r="L8" s="19">
        <v>14500</v>
      </c>
      <c r="M8" s="20"/>
      <c r="N8" s="19">
        <v>81988.72</v>
      </c>
      <c r="O8" s="20" t="s">
        <v>19</v>
      </c>
      <c r="P8" s="19">
        <v>0</v>
      </c>
      <c r="Q8" s="18">
        <v>0</v>
      </c>
      <c r="R8" s="19">
        <v>122397</v>
      </c>
      <c r="S8" s="18"/>
      <c r="T8" s="19">
        <v>32500.47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2999.6899999999732</v>
      </c>
      <c r="S9" s="21"/>
      <c r="T9" s="22">
        <f>+T7-T8</f>
        <v>-3000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-0.30999999999767169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3"/>
      <c r="L12" s="63"/>
      <c r="M12" s="63"/>
      <c r="N12" s="63"/>
      <c r="O12" s="63"/>
      <c r="P12" s="63"/>
      <c r="Q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76719</v>
      </c>
      <c r="I13" s="36">
        <v>53042</v>
      </c>
      <c r="J13" s="60">
        <v>1641</v>
      </c>
      <c r="K13" s="63"/>
      <c r="L13" s="63"/>
      <c r="M13" s="63"/>
      <c r="N13" s="63"/>
      <c r="O13" s="63"/>
      <c r="P13" s="63"/>
      <c r="Q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92582</v>
      </c>
      <c r="I14" s="36">
        <v>66131</v>
      </c>
      <c r="J14" s="60"/>
      <c r="K14" s="64"/>
      <c r="L14" s="64"/>
      <c r="M14" s="64"/>
      <c r="N14" s="63"/>
      <c r="O14" s="63"/>
      <c r="P14" s="63"/>
      <c r="Q14" s="63"/>
    </row>
    <row r="15" spans="1:24">
      <c r="A15" s="33" t="s">
        <v>34</v>
      </c>
      <c r="B15" s="34" t="s">
        <v>13</v>
      </c>
      <c r="C15" s="29">
        <f t="shared" ref="C15:C25" si="1">+E15/D15</f>
        <v>327.01995344196877</v>
      </c>
      <c r="D15" s="30">
        <f t="shared" ref="D15:D25" si="2">+VLOOKUP(B15,A$4:C$6,3,0)</f>
        <v>90.21</v>
      </c>
      <c r="E15" s="42">
        <v>29500.47</v>
      </c>
      <c r="F15" s="34">
        <v>22408</v>
      </c>
      <c r="H15" s="36"/>
      <c r="I15" s="36">
        <v>28370</v>
      </c>
      <c r="J15" s="61"/>
      <c r="K15" s="65"/>
      <c r="L15" s="63"/>
      <c r="M15" s="63"/>
      <c r="N15" s="63"/>
      <c r="O15" s="63"/>
      <c r="P15" s="63"/>
      <c r="Q15" s="63"/>
      <c r="V15">
        <f>2123+9236+3417.23+18069.1</f>
        <v>32845.33</v>
      </c>
    </row>
    <row r="16" spans="1:24">
      <c r="A16" s="33"/>
      <c r="B16" s="34" t="s">
        <v>13</v>
      </c>
      <c r="C16" s="29">
        <f t="shared" si="1"/>
        <v>0</v>
      </c>
      <c r="D16" s="30">
        <f t="shared" si="2"/>
        <v>90.21</v>
      </c>
      <c r="E16" s="42"/>
      <c r="F16" s="34"/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</row>
    <row r="17" spans="1:17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  <c r="P17" s="63"/>
      <c r="Q17" s="63"/>
    </row>
    <row r="18" spans="1:17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9"/>
      <c r="L18" s="69"/>
      <c r="M18" s="69"/>
      <c r="N18" s="63"/>
      <c r="O18" s="63"/>
      <c r="P18" s="63"/>
      <c r="Q18" s="63"/>
    </row>
    <row r="19" spans="1:17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70"/>
      <c r="L19" s="69"/>
      <c r="M19" s="70"/>
      <c r="N19" s="63"/>
      <c r="O19" s="63"/>
      <c r="P19" s="63"/>
      <c r="Q19" s="63"/>
    </row>
    <row r="20" spans="1:17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70"/>
      <c r="L20" s="69"/>
      <c r="M20" s="69"/>
      <c r="N20" s="63"/>
      <c r="O20" s="63"/>
      <c r="P20" s="63"/>
      <c r="Q20" s="63"/>
    </row>
    <row r="21" spans="1:17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70"/>
      <c r="L21" s="69"/>
      <c r="M21" s="70"/>
      <c r="N21" s="63"/>
      <c r="O21" s="63"/>
      <c r="P21" s="63"/>
      <c r="Q21" s="63"/>
    </row>
    <row r="22" spans="1:17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9"/>
      <c r="L22" s="69"/>
      <c r="M22" s="69"/>
      <c r="N22" s="63"/>
      <c r="O22" s="63"/>
      <c r="P22" s="63"/>
      <c r="Q22" s="63"/>
    </row>
    <row r="23" spans="1:1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  <c r="Q23" s="63"/>
    </row>
    <row r="24" spans="1:1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  <c r="Q24" s="63"/>
    </row>
    <row r="25" spans="1:1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  <c r="Q25" s="63"/>
    </row>
    <row r="26" spans="1:17">
      <c r="A26" s="30"/>
      <c r="B26" s="30"/>
      <c r="C26" s="29">
        <f>SUM(C15:C25)</f>
        <v>327.01995344196877</v>
      </c>
      <c r="D26" s="29"/>
      <c r="E26" s="29">
        <f>SUM(E15:E25)</f>
        <v>29500.47</v>
      </c>
      <c r="F26" s="30"/>
      <c r="K26" s="63"/>
      <c r="L26" s="63"/>
      <c r="M26" s="63"/>
      <c r="N26" s="63"/>
      <c r="O26" s="63"/>
      <c r="P26" s="63"/>
      <c r="Q26" s="63"/>
    </row>
    <row r="27" spans="1:17">
      <c r="K27" s="63"/>
      <c r="L27" s="63"/>
      <c r="M27" s="63"/>
      <c r="N27" s="63"/>
      <c r="O27" s="63"/>
      <c r="P27" s="63"/>
      <c r="Q27" s="63"/>
    </row>
    <row r="28" spans="1:17">
      <c r="K28" s="63"/>
      <c r="L28" s="63"/>
      <c r="M28" s="63"/>
      <c r="N28" s="63"/>
      <c r="O28" s="63"/>
      <c r="P28" s="63"/>
      <c r="Q28" s="63"/>
    </row>
    <row r="29" spans="1:17">
      <c r="K29" s="63"/>
      <c r="L29" s="63"/>
      <c r="M29" s="63"/>
      <c r="N29" s="63"/>
      <c r="O29" s="63"/>
      <c r="P29" s="63"/>
      <c r="Q29" s="63"/>
    </row>
    <row r="30" spans="1:17">
      <c r="K30" s="63"/>
      <c r="L30" s="63"/>
      <c r="M30" s="63"/>
      <c r="N30" s="63"/>
      <c r="O30" s="63"/>
      <c r="P30" s="63"/>
      <c r="Q30" s="63"/>
    </row>
    <row r="31" spans="1:17">
      <c r="K31" s="63"/>
      <c r="L31" s="63"/>
      <c r="M31" s="63"/>
      <c r="N31" s="63"/>
      <c r="O31" s="63"/>
      <c r="P31" s="63"/>
      <c r="Q31" s="63"/>
    </row>
    <row r="32" spans="1:17">
      <c r="C32">
        <f>+C15+C16</f>
        <v>327.01995344196877</v>
      </c>
      <c r="K32" s="63"/>
      <c r="L32" s="63"/>
      <c r="M32" s="63"/>
      <c r="N32" s="63"/>
      <c r="O32" s="63"/>
      <c r="P32" s="63"/>
      <c r="Q32" s="63"/>
    </row>
    <row r="33" spans="11:17">
      <c r="K33" s="63"/>
      <c r="L33" s="63"/>
      <c r="M33" s="63"/>
      <c r="N33" s="63"/>
      <c r="O33" s="63"/>
      <c r="P33" s="63"/>
      <c r="Q33" s="63"/>
    </row>
    <row r="34" spans="11:17">
      <c r="K34" s="63"/>
      <c r="L34" s="63"/>
      <c r="M34" s="63"/>
      <c r="N34" s="63"/>
      <c r="O34" s="63"/>
      <c r="P34" s="63"/>
      <c r="Q34" s="63"/>
    </row>
    <row r="35" spans="11:17">
      <c r="K35" s="63"/>
      <c r="L35" s="63"/>
      <c r="M35" s="63"/>
      <c r="N35" s="63"/>
      <c r="O35" s="63"/>
      <c r="P35" s="63"/>
      <c r="Q35" s="63"/>
    </row>
    <row r="36" spans="11:17">
      <c r="K36" s="63"/>
      <c r="L36" s="63"/>
      <c r="M36" s="63"/>
      <c r="N36" s="63"/>
      <c r="O36" s="63"/>
      <c r="P36" s="63"/>
      <c r="Q36" s="63"/>
    </row>
    <row r="37" spans="11:17">
      <c r="K37" s="63"/>
      <c r="L37" s="63"/>
      <c r="M37" s="63"/>
      <c r="N37" s="63"/>
      <c r="O37" s="63"/>
      <c r="P37" s="63"/>
      <c r="Q37" s="63"/>
    </row>
    <row r="38" spans="11:17">
      <c r="K38" s="63"/>
      <c r="L38" s="63"/>
      <c r="M38" s="63"/>
      <c r="N38" s="63"/>
      <c r="O38" s="63"/>
      <c r="P38" s="63"/>
      <c r="Q38" s="63"/>
    </row>
    <row r="39" spans="11:17">
      <c r="K39" s="63"/>
      <c r="L39" s="63"/>
      <c r="M39" s="63"/>
      <c r="N39" s="63"/>
      <c r="O39" s="63"/>
      <c r="P39" s="63"/>
      <c r="Q39" s="63"/>
    </row>
    <row r="40" spans="11:17">
      <c r="K40" s="63"/>
      <c r="L40" s="63"/>
      <c r="M40" s="63"/>
      <c r="N40" s="63"/>
      <c r="O40" s="63"/>
      <c r="P40" s="63"/>
      <c r="Q40" s="63"/>
    </row>
    <row r="41" spans="11:17">
      <c r="K41" s="63"/>
      <c r="L41" s="63"/>
      <c r="M41" s="63"/>
      <c r="N41" s="63"/>
      <c r="O41" s="63"/>
      <c r="P41" s="63"/>
      <c r="Q41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50"/>
  <sheetViews>
    <sheetView topLeftCell="G1" workbookViewId="0">
      <selection activeCell="H1" sqref="H1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768.70324797694275</v>
      </c>
    </row>
    <row r="4" spans="1:24" s="2" customFormat="1">
      <c r="A4" s="3" t="s">
        <v>14</v>
      </c>
      <c r="B4" s="12">
        <f>+(H13+H14+H15)/$C$4</f>
        <v>1622.5957406169421</v>
      </c>
      <c r="C4" s="4">
        <v>104.71</v>
      </c>
      <c r="D4" s="5">
        <f>B4*C4</f>
        <v>169902</v>
      </c>
      <c r="E4" s="6">
        <v>0</v>
      </c>
      <c r="F4" s="7">
        <f>+E4*C4</f>
        <v>0</v>
      </c>
      <c r="G4" s="9">
        <f>+(H8*60%)/$C$4</f>
        <v>337.72207048037438</v>
      </c>
      <c r="H4" s="7">
        <f>+G4*C4</f>
        <v>35362.877999999997</v>
      </c>
      <c r="I4" s="6">
        <f>J4/C4</f>
        <v>0</v>
      </c>
      <c r="J4" s="7">
        <v>0</v>
      </c>
      <c r="K4" s="8">
        <f>+L8/$C$4</f>
        <v>106.56575303218413</v>
      </c>
      <c r="L4" s="7">
        <f>+K4*C4</f>
        <v>11158.5</v>
      </c>
      <c r="M4" s="9">
        <f>+(N8*60%)/$C$4</f>
        <v>415.41098271416297</v>
      </c>
      <c r="N4" s="7">
        <f>+M4*C4</f>
        <v>43497.684000000001</v>
      </c>
      <c r="O4" s="9"/>
      <c r="P4" s="7">
        <f>+O4*C4</f>
        <v>0</v>
      </c>
      <c r="Q4" s="6">
        <v>762.89693439022051</v>
      </c>
      <c r="R4" s="7">
        <f>+Q4*C4</f>
        <v>79882.93799999998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1959.9046668883718</v>
      </c>
      <c r="C5" s="4">
        <v>90.21</v>
      </c>
      <c r="D5" s="5">
        <f>B5*C5</f>
        <v>176803</v>
      </c>
      <c r="E5" s="6">
        <v>0</v>
      </c>
      <c r="F5" s="7">
        <f>+E5*C5</f>
        <v>0</v>
      </c>
      <c r="G5" s="6">
        <f>+(H8*40%)/$C$5</f>
        <v>261.33745704467356</v>
      </c>
      <c r="H5" s="7">
        <f>+G5*C5</f>
        <v>23575.252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321.45500498836054</v>
      </c>
      <c r="N5" s="7">
        <f>+M5*C5</f>
        <v>28998.456000000002</v>
      </c>
      <c r="O5" s="9">
        <f>+P8/C5</f>
        <v>0</v>
      </c>
      <c r="P5" s="7">
        <f>+O5*C5</f>
        <v>0</v>
      </c>
      <c r="Q5" s="6">
        <v>608.40895687839497</v>
      </c>
      <c r="R5" s="7">
        <f>+Q5*C5</f>
        <v>54884.572000000007</v>
      </c>
      <c r="S5" s="10">
        <f>+X3</f>
        <v>768.70324797694275</v>
      </c>
      <c r="T5" s="7">
        <f>+S5*C5</f>
        <v>69344.72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10.097517730496454</v>
      </c>
      <c r="C6" s="4">
        <v>112.8</v>
      </c>
      <c r="D6" s="5">
        <f>B6*C6</f>
        <v>1139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10.097517730496454</v>
      </c>
      <c r="R6" s="7">
        <f>+Q6*C6</f>
        <v>1139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3592.5979252358102</v>
      </c>
      <c r="C7" s="3"/>
      <c r="D7" s="13">
        <f t="shared" ref="D7:T7" si="0">SUM(D4:D6)</f>
        <v>347844</v>
      </c>
      <c r="E7" s="14">
        <f t="shared" si="0"/>
        <v>0</v>
      </c>
      <c r="F7" s="15">
        <f t="shared" si="0"/>
        <v>0</v>
      </c>
      <c r="G7" s="14">
        <f t="shared" si="0"/>
        <v>599.059527525048</v>
      </c>
      <c r="H7" s="15">
        <f t="shared" si="0"/>
        <v>58938.13</v>
      </c>
      <c r="I7" s="14">
        <f t="shared" si="0"/>
        <v>0</v>
      </c>
      <c r="J7" s="15">
        <f t="shared" si="0"/>
        <v>0</v>
      </c>
      <c r="K7" s="14">
        <f t="shared" si="0"/>
        <v>106.56575303218413</v>
      </c>
      <c r="L7" s="15">
        <f t="shared" si="0"/>
        <v>11158.5</v>
      </c>
      <c r="M7" s="14">
        <f t="shared" si="0"/>
        <v>736.86598770252351</v>
      </c>
      <c r="N7" s="15">
        <f t="shared" si="0"/>
        <v>72496.14</v>
      </c>
      <c r="O7" s="14">
        <f t="shared" si="0"/>
        <v>0</v>
      </c>
      <c r="P7" s="15">
        <f t="shared" si="0"/>
        <v>0</v>
      </c>
      <c r="Q7" s="14">
        <f t="shared" si="0"/>
        <v>1381.4034089991121</v>
      </c>
      <c r="R7" s="15">
        <f t="shared" si="0"/>
        <v>135906.50999999998</v>
      </c>
      <c r="S7" s="14">
        <f t="shared" si="0"/>
        <v>768.70324797694275</v>
      </c>
      <c r="T7" s="15">
        <f t="shared" si="0"/>
        <v>69344.72</v>
      </c>
      <c r="U7" s="11">
        <f>+B7-E7-G7-Q7-S7-K7-I7-M7-O7</f>
        <v>-3.4106051316484809E-13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58938.13</v>
      </c>
      <c r="I8" s="18"/>
      <c r="J8" s="19">
        <v>0</v>
      </c>
      <c r="K8" s="18"/>
      <c r="L8" s="19">
        <v>11158.5</v>
      </c>
      <c r="M8" s="20"/>
      <c r="N8" s="19">
        <v>72496.14</v>
      </c>
      <c r="O8" s="20" t="s">
        <v>19</v>
      </c>
      <c r="P8" s="19">
        <v>0</v>
      </c>
      <c r="Q8" s="18">
        <v>0</v>
      </c>
      <c r="R8" s="19">
        <v>123786</v>
      </c>
      <c r="S8" s="18"/>
      <c r="T8" s="19">
        <v>81465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12120.50999999998</v>
      </c>
      <c r="S9" s="21"/>
      <c r="T9" s="22">
        <f>+T7-T8</f>
        <v>-12120.279999999999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0.22999999999592546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77855</v>
      </c>
      <c r="I13" s="36">
        <v>60365</v>
      </c>
      <c r="J13" s="30">
        <v>1139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92047</v>
      </c>
      <c r="I14" s="36">
        <v>33715</v>
      </c>
      <c r="J14" s="30"/>
      <c r="K14" s="76"/>
      <c r="L14" s="77"/>
      <c r="M14" s="77"/>
      <c r="N14" s="68"/>
      <c r="O14" s="68"/>
      <c r="P14" s="68"/>
      <c r="Q14" s="68"/>
      <c r="R14" s="68"/>
      <c r="S14" s="68"/>
      <c r="T14" s="68"/>
      <c r="U14" s="68"/>
      <c r="V14" s="68"/>
    </row>
    <row r="15" spans="1:24">
      <c r="A15" s="33" t="s">
        <v>30</v>
      </c>
      <c r="B15" s="34" t="s">
        <v>13</v>
      </c>
      <c r="C15" s="29">
        <f t="shared" ref="C15:C25" si="1">+E15/D15</f>
        <v>227.79991131803573</v>
      </c>
      <c r="D15" s="30">
        <f t="shared" ref="D15:D25" si="2">+VLOOKUP(B15,A$4:C$6,3,0)</f>
        <v>90.21</v>
      </c>
      <c r="E15" s="42">
        <v>20549.830000000002</v>
      </c>
      <c r="F15" s="34">
        <v>22409</v>
      </c>
      <c r="H15" s="36"/>
      <c r="I15" s="36">
        <v>82723</v>
      </c>
      <c r="J15" s="36"/>
      <c r="K15" s="78"/>
      <c r="L15" s="79"/>
      <c r="M15" s="79"/>
      <c r="N15" s="68"/>
      <c r="O15" s="68"/>
      <c r="P15" s="68"/>
      <c r="Q15" s="68"/>
      <c r="R15" s="68"/>
      <c r="S15" s="68"/>
      <c r="T15" s="68"/>
      <c r="U15" s="68"/>
      <c r="V15" s="68"/>
    </row>
    <row r="16" spans="1:24">
      <c r="A16" s="33" t="s">
        <v>30</v>
      </c>
      <c r="B16" s="34" t="s">
        <v>13</v>
      </c>
      <c r="C16" s="29">
        <f t="shared" si="1"/>
        <v>5.8036803015186784</v>
      </c>
      <c r="D16" s="30">
        <f t="shared" si="2"/>
        <v>90.21</v>
      </c>
      <c r="E16" s="42">
        <v>523.54999999999995</v>
      </c>
      <c r="F16" s="34">
        <v>22410</v>
      </c>
      <c r="H16" s="30">
        <f>+H24/C4</f>
        <v>0</v>
      </c>
      <c r="I16" s="43">
        <f>+I24/C5</f>
        <v>0</v>
      </c>
      <c r="J16" s="43">
        <f>+J24/C6</f>
        <v>0</v>
      </c>
      <c r="K16" s="78"/>
      <c r="L16" s="79"/>
      <c r="M16" s="80"/>
      <c r="N16" s="68"/>
      <c r="O16" s="68"/>
      <c r="P16" s="68"/>
      <c r="Q16" s="68"/>
      <c r="R16" s="68"/>
      <c r="S16" s="68"/>
      <c r="T16" s="68"/>
      <c r="U16" s="68"/>
      <c r="V16" s="68"/>
    </row>
    <row r="17" spans="1:22">
      <c r="A17" s="33" t="s">
        <v>39</v>
      </c>
      <c r="B17" s="34" t="s">
        <v>13</v>
      </c>
      <c r="C17" s="29">
        <f t="shared" si="1"/>
        <v>155.33998448065626</v>
      </c>
      <c r="D17" s="30">
        <f t="shared" si="2"/>
        <v>90.21</v>
      </c>
      <c r="E17" s="44">
        <v>14013.22</v>
      </c>
      <c r="F17" s="34">
        <v>22411</v>
      </c>
      <c r="H17" s="28"/>
      <c r="K17" s="80"/>
      <c r="L17" s="79"/>
      <c r="M17" s="79"/>
      <c r="N17" s="68"/>
      <c r="O17" s="68"/>
      <c r="P17" s="68"/>
      <c r="Q17" s="68"/>
      <c r="R17" s="68"/>
      <c r="S17" s="68"/>
      <c r="T17" s="68"/>
      <c r="U17" s="68"/>
      <c r="V17" s="68"/>
    </row>
    <row r="18" spans="1:22">
      <c r="A18" s="33" t="s">
        <v>33</v>
      </c>
      <c r="B18" s="34" t="s">
        <v>13</v>
      </c>
      <c r="C18" s="29">
        <f t="shared" si="1"/>
        <v>239.93991796918303</v>
      </c>
      <c r="D18" s="30">
        <f t="shared" si="2"/>
        <v>90.21</v>
      </c>
      <c r="E18" s="44">
        <v>21644.98</v>
      </c>
      <c r="F18" s="34">
        <v>22412</v>
      </c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</row>
    <row r="19" spans="1:22">
      <c r="A19" s="33" t="s">
        <v>38</v>
      </c>
      <c r="B19" s="34" t="s">
        <v>13</v>
      </c>
      <c r="C19" s="29">
        <f t="shared" si="1"/>
        <v>88.809777186564688</v>
      </c>
      <c r="D19" s="30">
        <f t="shared" si="2"/>
        <v>90.21</v>
      </c>
      <c r="E19" s="44">
        <v>8011.53</v>
      </c>
      <c r="F19" s="39">
        <v>22414</v>
      </c>
      <c r="K19" s="80"/>
      <c r="L19" s="79"/>
      <c r="M19" s="80"/>
      <c r="N19" s="68"/>
      <c r="O19" s="68"/>
      <c r="P19" s="68"/>
      <c r="Q19" s="68"/>
      <c r="R19" s="68"/>
      <c r="S19" s="68"/>
      <c r="T19" s="68"/>
      <c r="U19" s="68"/>
      <c r="V19" s="68"/>
    </row>
    <row r="20" spans="1:22">
      <c r="A20" s="33" t="s">
        <v>35</v>
      </c>
      <c r="B20" s="34" t="s">
        <v>13</v>
      </c>
      <c r="C20" s="29">
        <f t="shared" si="1"/>
        <v>51.009976720984369</v>
      </c>
      <c r="D20" s="30">
        <f t="shared" si="2"/>
        <v>90.21</v>
      </c>
      <c r="E20" s="44">
        <v>4601.6099999999997</v>
      </c>
      <c r="F20" s="30">
        <v>22416</v>
      </c>
      <c r="K20" s="80"/>
      <c r="L20" s="79"/>
      <c r="M20" s="79"/>
      <c r="N20" s="68"/>
      <c r="O20" s="68"/>
      <c r="P20" s="68"/>
      <c r="Q20" s="68"/>
      <c r="R20" s="68"/>
      <c r="S20" s="68"/>
      <c r="T20" s="68"/>
      <c r="U20" s="68"/>
      <c r="V20" s="68"/>
    </row>
    <row r="21" spans="1:22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72"/>
      <c r="L21" s="79"/>
      <c r="M21" s="80"/>
      <c r="N21" s="68"/>
      <c r="O21" s="68"/>
      <c r="P21" s="68"/>
      <c r="Q21" s="68"/>
      <c r="R21" s="68"/>
      <c r="S21" s="68"/>
      <c r="T21" s="68"/>
      <c r="U21" s="68"/>
      <c r="V21" s="68"/>
    </row>
    <row r="22" spans="1:22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</row>
    <row r="23" spans="1:22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spans="1:22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</row>
    <row r="25" spans="1:22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</row>
    <row r="26" spans="1:22">
      <c r="A26" s="30"/>
      <c r="B26" s="30"/>
      <c r="C26" s="29">
        <f>SUM(C15:C25)</f>
        <v>768.70324797694275</v>
      </c>
      <c r="D26" s="29"/>
      <c r="E26" s="29">
        <f>SUM(E15:E25)</f>
        <v>69344.72</v>
      </c>
      <c r="F26" s="30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</row>
    <row r="27" spans="1:22"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</row>
    <row r="28" spans="1:22"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</row>
    <row r="29" spans="1:22"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</row>
    <row r="30" spans="1:22"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</row>
    <row r="31" spans="1:22"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</row>
    <row r="32" spans="1:22">
      <c r="C32">
        <f>+C15+C16</f>
        <v>233.60359161955441</v>
      </c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 spans="11:22"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 spans="11:22"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 spans="11:22"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1:22"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 spans="11:22"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 spans="11:22"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</row>
    <row r="39" spans="11:22"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</row>
    <row r="40" spans="11:22"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50"/>
  <sheetViews>
    <sheetView topLeftCell="E1" workbookViewId="0">
      <selection activeCell="K13" sqref="K13:N25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7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7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7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709.45482762443191</v>
      </c>
    </row>
    <row r="4" spans="1:27" s="2" customFormat="1">
      <c r="A4" s="3" t="s">
        <v>14</v>
      </c>
      <c r="B4" s="12">
        <f>+(H13+H14+H15)/$C$4</f>
        <v>1407.8407028937065</v>
      </c>
      <c r="C4" s="4">
        <v>104.71</v>
      </c>
      <c r="D4" s="5">
        <f>B4*C4</f>
        <v>147415</v>
      </c>
      <c r="E4" s="6">
        <v>0</v>
      </c>
      <c r="F4" s="7">
        <f>+E4*C4</f>
        <v>0</v>
      </c>
      <c r="G4" s="9">
        <f>+(H8*60%)/$C$4</f>
        <v>284.7623149651418</v>
      </c>
      <c r="H4" s="7">
        <f>+G4*C4</f>
        <v>29817.461999999996</v>
      </c>
      <c r="I4" s="6">
        <f>J4/C4</f>
        <v>0</v>
      </c>
      <c r="J4" s="7">
        <v>0</v>
      </c>
      <c r="K4" s="8">
        <f>+L8/$C$4</f>
        <v>344.24687231401009</v>
      </c>
      <c r="L4" s="7">
        <f>+K4*C4</f>
        <v>36046.089999999997</v>
      </c>
      <c r="M4" s="9">
        <f>+(N8*60%)/$C$4</f>
        <v>411.54086524687239</v>
      </c>
      <c r="N4" s="7">
        <f>+M4*C4</f>
        <v>43092.444000000003</v>
      </c>
      <c r="O4" s="9"/>
      <c r="P4" s="7">
        <f>+O4*C4</f>
        <v>0</v>
      </c>
      <c r="Q4" s="6">
        <v>367.29065036768236</v>
      </c>
      <c r="R4" s="7">
        <f>+Q4*C4</f>
        <v>38459.004000000015</v>
      </c>
      <c r="S4" s="10">
        <f>+X4</f>
        <v>0</v>
      </c>
      <c r="T4" s="7">
        <f>+S4*C4</f>
        <v>0</v>
      </c>
      <c r="U4" s="11">
        <f>+B4-E4-G4-Q4-S4-K4-I4-M4-O4</f>
        <v>-5.6843418860808015E-14</v>
      </c>
      <c r="W4" t="s">
        <v>15</v>
      </c>
      <c r="X4" s="2">
        <f>+SUMIFS(C15:C26,B15:B26,W4)</f>
        <v>0</v>
      </c>
    </row>
    <row r="5" spans="1:27" s="2" customFormat="1">
      <c r="A5" s="3" t="s">
        <v>16</v>
      </c>
      <c r="B5" s="12">
        <f>+(I13+I14+I15)/$C$5</f>
        <v>1945.9261722647159</v>
      </c>
      <c r="C5" s="4">
        <v>90.21</v>
      </c>
      <c r="D5" s="5">
        <f>B5*C5</f>
        <v>175542</v>
      </c>
      <c r="E5" s="6">
        <v>0</v>
      </c>
      <c r="F5" s="7">
        <f>+E5*C5</f>
        <v>0</v>
      </c>
      <c r="G5" s="6">
        <f>+(H8*40%)/$C$5</f>
        <v>220.35592506374019</v>
      </c>
      <c r="H5" s="7">
        <f>+G5*C5</f>
        <v>19878.308000000001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318.46021505376348</v>
      </c>
      <c r="N5" s="7">
        <f>+M5*C5</f>
        <v>28728.296000000002</v>
      </c>
      <c r="O5" s="9">
        <f>+P8/C5</f>
        <v>0</v>
      </c>
      <c r="P5" s="7">
        <f>+O5*C5</f>
        <v>0</v>
      </c>
      <c r="Q5" s="6">
        <v>697.65520452278031</v>
      </c>
      <c r="R5" s="7">
        <f>+Q5*C5</f>
        <v>62935.47600000001</v>
      </c>
      <c r="S5" s="10">
        <f>+X3</f>
        <v>709.45482762443191</v>
      </c>
      <c r="T5" s="7">
        <f>+S5*C5</f>
        <v>63999.92</v>
      </c>
      <c r="U5" s="11">
        <f>+B5-E5-G5-Q5-S5-K5-I5-M5-O5</f>
        <v>-1.1368683772161603E-13</v>
      </c>
      <c r="W5" t="s">
        <v>17</v>
      </c>
      <c r="X5" s="2">
        <f>+SUMIFS(C17:C27,B17:B27,W5)</f>
        <v>0</v>
      </c>
    </row>
    <row r="6" spans="1:27" s="2" customFormat="1">
      <c r="A6" s="3" t="s">
        <v>17</v>
      </c>
      <c r="B6" s="12">
        <f>+(J13+J14+J15)/$C$6</f>
        <v>6.9858156028368796</v>
      </c>
      <c r="C6" s="4">
        <v>112.8</v>
      </c>
      <c r="D6" s="5">
        <f>B6*C6</f>
        <v>788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6.9858156028368796</v>
      </c>
      <c r="R6" s="7">
        <f>+Q6*C6</f>
        <v>788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7" s="2" customFormat="1">
      <c r="A7" s="3"/>
      <c r="B7" s="38">
        <f>SUM(B4:B6)</f>
        <v>3360.7526907612591</v>
      </c>
      <c r="C7" s="3"/>
      <c r="D7" s="13">
        <f t="shared" ref="D7:T7" si="0">SUM(D4:D6)</f>
        <v>323745</v>
      </c>
      <c r="E7" s="14">
        <f t="shared" si="0"/>
        <v>0</v>
      </c>
      <c r="F7" s="15">
        <f t="shared" si="0"/>
        <v>0</v>
      </c>
      <c r="G7" s="14">
        <f t="shared" si="0"/>
        <v>505.11824002888198</v>
      </c>
      <c r="H7" s="15">
        <f t="shared" si="0"/>
        <v>49695.77</v>
      </c>
      <c r="I7" s="14">
        <f t="shared" si="0"/>
        <v>0</v>
      </c>
      <c r="J7" s="15">
        <f t="shared" si="0"/>
        <v>0</v>
      </c>
      <c r="K7" s="14">
        <f t="shared" si="0"/>
        <v>344.24687231401009</v>
      </c>
      <c r="L7" s="15">
        <f t="shared" si="0"/>
        <v>36046.089999999997</v>
      </c>
      <c r="M7" s="14">
        <f t="shared" si="0"/>
        <v>730.00108030063586</v>
      </c>
      <c r="N7" s="15">
        <f t="shared" si="0"/>
        <v>71820.740000000005</v>
      </c>
      <c r="O7" s="14">
        <f t="shared" si="0"/>
        <v>0</v>
      </c>
      <c r="P7" s="15">
        <f t="shared" si="0"/>
        <v>0</v>
      </c>
      <c r="Q7" s="14">
        <f t="shared" si="0"/>
        <v>1071.9316704932996</v>
      </c>
      <c r="R7" s="15">
        <f t="shared" si="0"/>
        <v>102182.48000000003</v>
      </c>
      <c r="S7" s="14">
        <f t="shared" si="0"/>
        <v>709.45482762443191</v>
      </c>
      <c r="T7" s="15">
        <f t="shared" si="0"/>
        <v>63999.92</v>
      </c>
      <c r="U7" s="11">
        <f>+B7-E7-G7-Q7-S7-K7-I7-M7-O7</f>
        <v>-5.6843418860808015E-13</v>
      </c>
    </row>
    <row r="8" spans="1:27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49695.77</v>
      </c>
      <c r="I8" s="18"/>
      <c r="J8" s="19">
        <v>0</v>
      </c>
      <c r="K8" s="18"/>
      <c r="L8" s="19">
        <v>36046.089999999997</v>
      </c>
      <c r="M8" s="20"/>
      <c r="N8" s="19">
        <v>71820.740000000005</v>
      </c>
      <c r="O8" s="20" t="s">
        <v>19</v>
      </c>
      <c r="P8" s="19">
        <v>0</v>
      </c>
      <c r="Q8" s="18">
        <v>0</v>
      </c>
      <c r="R8" s="19">
        <v>101658</v>
      </c>
      <c r="S8" s="18"/>
      <c r="T8" s="19">
        <v>64524</v>
      </c>
      <c r="U8" s="17"/>
    </row>
    <row r="9" spans="1:27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524.48000000002503</v>
      </c>
      <c r="S9" s="21"/>
      <c r="T9" s="22">
        <f>+T7-T8</f>
        <v>-524.08000000000175</v>
      </c>
      <c r="U9" s="23"/>
    </row>
    <row r="10" spans="1:27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7">
      <c r="A11" s="26" t="s">
        <v>21</v>
      </c>
      <c r="D11" s="27">
        <f>+D7-F8-H8-L8-J8-R8-T8-N8-P8</f>
        <v>0.39999999997962732</v>
      </c>
      <c r="F11" s="28"/>
      <c r="M11" s="28"/>
    </row>
    <row r="12" spans="1:27">
      <c r="F12" s="28"/>
      <c r="G12" s="28"/>
      <c r="H12" s="29" t="s">
        <v>14</v>
      </c>
      <c r="I12" s="29" t="s">
        <v>16</v>
      </c>
      <c r="J12" s="29" t="s">
        <v>22</v>
      </c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spans="1:27">
      <c r="A13" s="58" t="s">
        <v>23</v>
      </c>
      <c r="B13" s="59"/>
      <c r="C13" s="59"/>
      <c r="D13" s="59"/>
      <c r="E13" s="59"/>
      <c r="F13" s="57"/>
      <c r="H13" s="30">
        <v>56449</v>
      </c>
      <c r="I13" s="36">
        <v>55579</v>
      </c>
      <c r="J13" s="60">
        <v>788</v>
      </c>
      <c r="K13" s="69"/>
      <c r="L13" s="69"/>
      <c r="M13" s="69"/>
      <c r="N13" s="69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27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90966</v>
      </c>
      <c r="I14" s="36">
        <v>61433</v>
      </c>
      <c r="J14" s="60"/>
      <c r="K14" s="74"/>
      <c r="L14" s="74"/>
      <c r="M14" s="74"/>
      <c r="N14" s="69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27">
      <c r="A15" s="33" t="s">
        <v>33</v>
      </c>
      <c r="B15" s="34" t="s">
        <v>13</v>
      </c>
      <c r="C15" s="29">
        <f t="shared" ref="C15:C25" si="1">+E15/D15</f>
        <v>221.70491076377343</v>
      </c>
      <c r="D15" s="30">
        <f t="shared" ref="D15:D25" si="2">+VLOOKUP(B15,A$4:C$6,3,0)</f>
        <v>90.21</v>
      </c>
      <c r="E15" s="42">
        <v>20000</v>
      </c>
      <c r="F15" s="34">
        <v>22417</v>
      </c>
      <c r="H15" s="36"/>
      <c r="I15" s="36">
        <v>58530</v>
      </c>
      <c r="J15" s="61"/>
      <c r="K15" s="70"/>
      <c r="L15" s="69"/>
      <c r="M15" s="69"/>
      <c r="N15" s="69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27">
      <c r="A16" s="33" t="s">
        <v>41</v>
      </c>
      <c r="B16" s="34" t="s">
        <v>13</v>
      </c>
      <c r="C16" s="29">
        <f t="shared" si="1"/>
        <v>487.74991686065846</v>
      </c>
      <c r="D16" s="30">
        <f t="shared" si="2"/>
        <v>90.21</v>
      </c>
      <c r="E16" s="42">
        <v>43999.92</v>
      </c>
      <c r="F16" s="34">
        <v>22419</v>
      </c>
      <c r="H16" s="30">
        <f>+H24/C4</f>
        <v>0</v>
      </c>
      <c r="I16" s="43">
        <f>+I24/C5</f>
        <v>0</v>
      </c>
      <c r="J16" s="62">
        <f>+J24/C6</f>
        <v>0</v>
      </c>
      <c r="K16" s="70"/>
      <c r="L16" s="69"/>
      <c r="M16" s="70"/>
      <c r="N16" s="69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1:27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70"/>
      <c r="L17" s="69"/>
      <c r="M17" s="69"/>
      <c r="N17" s="69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spans="1:27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9"/>
      <c r="L18" s="69"/>
      <c r="M18" s="69"/>
      <c r="N18" s="69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spans="1:27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70"/>
      <c r="L19" s="69"/>
      <c r="M19" s="70"/>
      <c r="N19" s="69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spans="1:27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70"/>
      <c r="L20" s="69"/>
      <c r="M20" s="69"/>
      <c r="N20" s="69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1:27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70"/>
      <c r="L21" s="69"/>
      <c r="M21" s="70"/>
      <c r="N21" s="69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27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9"/>
      <c r="L22" s="69"/>
      <c r="M22" s="69"/>
      <c r="N22" s="69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9"/>
      <c r="L23" s="69"/>
      <c r="M23" s="69"/>
      <c r="N23" s="69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2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9"/>
      <c r="L24" s="69"/>
      <c r="M24" s="69"/>
      <c r="N24" s="69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1:2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9"/>
      <c r="L25" s="69"/>
      <c r="M25" s="69"/>
      <c r="N25" s="69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27">
      <c r="A26" s="30"/>
      <c r="B26" s="30"/>
      <c r="C26" s="29">
        <f>SUM(C15:C25)</f>
        <v>709.45482762443191</v>
      </c>
      <c r="D26" s="29"/>
      <c r="E26" s="29">
        <f>SUM(E15:E25)</f>
        <v>63999.92</v>
      </c>
      <c r="F26" s="30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1:27"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1:27"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7"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>
      <c r="C32">
        <f>+C15+C16</f>
        <v>709.45482762443191</v>
      </c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1:27"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spans="11:27"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1:27"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spans="11:27"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spans="11:27"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spans="11:27"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spans="11:27"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spans="11:27"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11:27"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spans="11:27"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7"/>
  <sheetViews>
    <sheetView topLeftCell="E1" workbookViewId="0">
      <selection activeCell="I12" sqref="I1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912.37390533200312</v>
      </c>
    </row>
    <row r="4" spans="1:24" s="2" customFormat="1">
      <c r="A4" s="3" t="s">
        <v>14</v>
      </c>
      <c r="B4" s="12">
        <f>+(H13+H14+H15)/$C$4</f>
        <v>1516.6173240378189</v>
      </c>
      <c r="C4" s="4">
        <v>104.71</v>
      </c>
      <c r="D4" s="5">
        <f>B4*C4</f>
        <v>158805</v>
      </c>
      <c r="E4" s="6">
        <v>0</v>
      </c>
      <c r="F4" s="7">
        <f>+E4*C4</f>
        <v>0</v>
      </c>
      <c r="G4" s="9">
        <f>+(H8*60%)/$C$4</f>
        <v>420.64968006876137</v>
      </c>
      <c r="H4" s="7">
        <f>+G4*C4</f>
        <v>44046.228000000003</v>
      </c>
      <c r="I4" s="6">
        <f>J4/C4</f>
        <v>0</v>
      </c>
      <c r="J4" s="7">
        <v>0</v>
      </c>
      <c r="K4" s="8">
        <f>+L8/$C$4</f>
        <v>4.3071339891127876</v>
      </c>
      <c r="L4" s="7">
        <f>+K4*C4</f>
        <v>450.99999999999994</v>
      </c>
      <c r="M4" s="9">
        <f>+(N8*60%)/$C$4</f>
        <v>447.74055964091298</v>
      </c>
      <c r="N4" s="7">
        <f>+M4*C4</f>
        <v>46882.913999999997</v>
      </c>
      <c r="O4" s="9"/>
      <c r="P4" s="7">
        <f>+O4*C4</f>
        <v>0</v>
      </c>
      <c r="Q4" s="6">
        <v>643.91995033903163</v>
      </c>
      <c r="R4" s="7">
        <f>+Q4*C4</f>
        <v>67424.857999999993</v>
      </c>
      <c r="S4" s="10">
        <f>+X4</f>
        <v>0</v>
      </c>
      <c r="T4" s="7">
        <f>+S4*C4</f>
        <v>0</v>
      </c>
      <c r="U4" s="11">
        <f>+B4-E4-G4-Q4-S4-K4-I4-M4-O4</f>
        <v>5.6843418860808015E-14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1867.0103092783506</v>
      </c>
      <c r="C5" s="4">
        <v>90.21</v>
      </c>
      <c r="D5" s="5">
        <f>B5*C5</f>
        <v>168423</v>
      </c>
      <c r="E5" s="6">
        <v>0</v>
      </c>
      <c r="F5" s="7">
        <f>+E5*C5</f>
        <v>0</v>
      </c>
      <c r="G5" s="6">
        <f>+(H8*40%)/$C$5</f>
        <v>325.50883494069399</v>
      </c>
      <c r="H5" s="7">
        <f>+G5*C5</f>
        <v>29364.152000000002</v>
      </c>
      <c r="I5" s="6">
        <f>+J8/C5</f>
        <v>40.461146214388648</v>
      </c>
      <c r="J5" s="7">
        <f>+I5*C5</f>
        <v>3649.9999999999995</v>
      </c>
      <c r="K5" s="6">
        <v>0</v>
      </c>
      <c r="L5" s="7">
        <f>+K5*C5</f>
        <v>0</v>
      </c>
      <c r="M5" s="6">
        <f>+(N8*40%)/$C$5</f>
        <v>346.47240882385552</v>
      </c>
      <c r="N5" s="7">
        <f>+M5*C5</f>
        <v>31255.276000000005</v>
      </c>
      <c r="O5" s="9">
        <f>+P8/C5</f>
        <v>0</v>
      </c>
      <c r="P5" s="7">
        <f>+O5*C5</f>
        <v>0</v>
      </c>
      <c r="Q5" s="6">
        <v>242.19401396740932</v>
      </c>
      <c r="R5" s="7">
        <f>+Q5*C5</f>
        <v>21848.321999999993</v>
      </c>
      <c r="S5" s="10">
        <f>+X3</f>
        <v>912.37390533200312</v>
      </c>
      <c r="T5" s="7">
        <f>+S5*C5</f>
        <v>82305.25</v>
      </c>
      <c r="U5" s="11">
        <f>+B5-E5-G5-Q5-S5-K5-I5-M5-O5</f>
        <v>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6.7287234042553195</v>
      </c>
      <c r="C6" s="4">
        <v>112.8</v>
      </c>
      <c r="D6" s="5">
        <f>B6*C6</f>
        <v>759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6.7287234042553195</v>
      </c>
      <c r="R6" s="7">
        <f>+Q6*C6</f>
        <v>759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3390.3563567204246</v>
      </c>
      <c r="C7" s="3"/>
      <c r="D7" s="13">
        <f t="shared" ref="D7:T7" si="0">SUM(D4:D6)</f>
        <v>327987</v>
      </c>
      <c r="E7" s="14">
        <f t="shared" si="0"/>
        <v>0</v>
      </c>
      <c r="F7" s="15">
        <f t="shared" si="0"/>
        <v>0</v>
      </c>
      <c r="G7" s="14">
        <f t="shared" si="0"/>
        <v>746.15851500945541</v>
      </c>
      <c r="H7" s="15">
        <f t="shared" si="0"/>
        <v>73410.38</v>
      </c>
      <c r="I7" s="14">
        <f t="shared" si="0"/>
        <v>40.461146214388648</v>
      </c>
      <c r="J7" s="15">
        <f t="shared" si="0"/>
        <v>3649.9999999999995</v>
      </c>
      <c r="K7" s="14">
        <f t="shared" si="0"/>
        <v>4.3071339891127876</v>
      </c>
      <c r="L7" s="15">
        <f t="shared" si="0"/>
        <v>450.99999999999994</v>
      </c>
      <c r="M7" s="14">
        <f t="shared" si="0"/>
        <v>794.21296846476844</v>
      </c>
      <c r="N7" s="15">
        <f t="shared" si="0"/>
        <v>78138.19</v>
      </c>
      <c r="O7" s="14">
        <f t="shared" si="0"/>
        <v>0</v>
      </c>
      <c r="P7" s="15">
        <f t="shared" si="0"/>
        <v>0</v>
      </c>
      <c r="Q7" s="14">
        <f t="shared" si="0"/>
        <v>892.84268771069628</v>
      </c>
      <c r="R7" s="15">
        <f t="shared" si="0"/>
        <v>90032.18</v>
      </c>
      <c r="S7" s="14">
        <f t="shared" si="0"/>
        <v>912.37390533200312</v>
      </c>
      <c r="T7" s="15">
        <f t="shared" si="0"/>
        <v>82305.25</v>
      </c>
      <c r="U7" s="11">
        <f>+B7-E7-G7-Q7-S7-K7-I7-M7-O7</f>
        <v>1.1368683772161603E-13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73410.38</v>
      </c>
      <c r="I8" s="18"/>
      <c r="J8" s="19">
        <v>3650</v>
      </c>
      <c r="K8" s="18"/>
      <c r="L8" s="19">
        <v>451</v>
      </c>
      <c r="M8" s="20"/>
      <c r="N8" s="19">
        <v>78138.19</v>
      </c>
      <c r="O8" s="20" t="s">
        <v>19</v>
      </c>
      <c r="P8" s="19">
        <v>0</v>
      </c>
      <c r="Q8" s="18">
        <v>0</v>
      </c>
      <c r="R8" s="19">
        <v>90030</v>
      </c>
      <c r="S8" s="18"/>
      <c r="T8" s="19">
        <v>82306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2.1799999999930151</v>
      </c>
      <c r="S9" s="21"/>
      <c r="T9" s="22">
        <f>+T7-T8</f>
        <v>-0.75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1.4299999999930151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73957</v>
      </c>
      <c r="I13" s="36">
        <v>42485</v>
      </c>
      <c r="J13" s="60">
        <v>759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84848</v>
      </c>
      <c r="I14" s="36">
        <v>58843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</row>
    <row r="15" spans="1:24">
      <c r="A15" s="33" t="s">
        <v>30</v>
      </c>
      <c r="B15" s="34" t="s">
        <v>13</v>
      </c>
      <c r="C15" s="29">
        <f t="shared" ref="C15:C25" si="1">+E15/D15</f>
        <v>230.74991686065849</v>
      </c>
      <c r="D15" s="30">
        <f t="shared" ref="D15:D25" si="2">+VLOOKUP(B15,A$4:C$6,3,0)</f>
        <v>90.21</v>
      </c>
      <c r="E15" s="42">
        <v>20815.95</v>
      </c>
      <c r="F15" s="34">
        <v>22423</v>
      </c>
      <c r="H15" s="36"/>
      <c r="I15" s="36">
        <v>67095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</row>
    <row r="16" spans="1:24">
      <c r="A16" s="33" t="s">
        <v>33</v>
      </c>
      <c r="B16" s="34" t="s">
        <v>13</v>
      </c>
      <c r="C16" s="29">
        <f t="shared" si="1"/>
        <v>221.70491076377343</v>
      </c>
      <c r="D16" s="30">
        <f t="shared" si="2"/>
        <v>90.21</v>
      </c>
      <c r="E16" s="42">
        <v>20000</v>
      </c>
      <c r="F16" s="34">
        <v>22424</v>
      </c>
      <c r="H16" s="30">
        <f>+H24/C4</f>
        <v>1516.6173240378189</v>
      </c>
      <c r="I16" s="43">
        <f>+I24/C5</f>
        <v>1867.0103092783506</v>
      </c>
      <c r="J16" s="62">
        <f>+J24/C6</f>
        <v>6.7287234042553195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</row>
    <row r="17" spans="1:22">
      <c r="A17" s="33" t="s">
        <v>33</v>
      </c>
      <c r="B17" s="34" t="s">
        <v>13</v>
      </c>
      <c r="C17" s="29">
        <f t="shared" si="1"/>
        <v>90.779403613790052</v>
      </c>
      <c r="D17" s="30">
        <f t="shared" si="2"/>
        <v>90.21</v>
      </c>
      <c r="E17" s="44">
        <v>8189.21</v>
      </c>
      <c r="F17" s="34">
        <v>22425</v>
      </c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</row>
    <row r="18" spans="1:22">
      <c r="A18" s="33" t="s">
        <v>41</v>
      </c>
      <c r="B18" s="34" t="s">
        <v>13</v>
      </c>
      <c r="C18" s="29">
        <f t="shared" si="1"/>
        <v>239.65114732291323</v>
      </c>
      <c r="D18" s="30">
        <f t="shared" si="2"/>
        <v>90.21</v>
      </c>
      <c r="E18" s="44">
        <v>21618.93</v>
      </c>
      <c r="F18" s="34">
        <v>22426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</row>
    <row r="19" spans="1:22">
      <c r="A19" s="33" t="s">
        <v>36</v>
      </c>
      <c r="B19" s="34" t="s">
        <v>13</v>
      </c>
      <c r="C19" s="29">
        <f t="shared" si="1"/>
        <v>34.189890256069177</v>
      </c>
      <c r="D19" s="30">
        <f t="shared" si="2"/>
        <v>90.21</v>
      </c>
      <c r="E19" s="44">
        <v>3084.27</v>
      </c>
      <c r="F19" s="39">
        <v>22427</v>
      </c>
      <c r="H19">
        <f>179130.55+24221.9</f>
        <v>203352.44999999998</v>
      </c>
      <c r="K19" s="66"/>
      <c r="L19" s="63"/>
      <c r="M19" s="65"/>
      <c r="N19" s="63"/>
      <c r="O19" s="63"/>
      <c r="P19" s="63"/>
      <c r="Q19" s="63"/>
      <c r="R19" s="63"/>
      <c r="S19" s="63"/>
      <c r="T19" s="63"/>
      <c r="U19" s="63"/>
      <c r="V19" s="63"/>
    </row>
    <row r="20" spans="1:22">
      <c r="A20" s="33" t="s">
        <v>35</v>
      </c>
      <c r="B20" s="34" t="s">
        <v>13</v>
      </c>
      <c r="C20" s="29">
        <f t="shared" si="1"/>
        <v>29.659904666888373</v>
      </c>
      <c r="D20" s="30">
        <f t="shared" si="2"/>
        <v>90.21</v>
      </c>
      <c r="E20" s="44">
        <v>2675.62</v>
      </c>
      <c r="F20" s="30">
        <v>22428</v>
      </c>
      <c r="K20" s="65"/>
      <c r="L20" s="63"/>
      <c r="M20" s="67"/>
      <c r="N20" s="63"/>
      <c r="O20" s="63"/>
      <c r="P20" s="63"/>
      <c r="Q20" s="63"/>
      <c r="R20" s="63"/>
      <c r="S20" s="63"/>
      <c r="T20" s="63"/>
      <c r="U20" s="63"/>
      <c r="V20" s="63"/>
    </row>
    <row r="21" spans="1:22">
      <c r="A21" s="33" t="s">
        <v>35</v>
      </c>
      <c r="B21" s="34" t="s">
        <v>13</v>
      </c>
      <c r="C21" s="29">
        <f t="shared" si="1"/>
        <v>36.818756235450621</v>
      </c>
      <c r="D21" s="30">
        <f t="shared" si="2"/>
        <v>90.21</v>
      </c>
      <c r="E21" s="44">
        <v>3321.42</v>
      </c>
      <c r="F21" s="35">
        <v>22429</v>
      </c>
      <c r="H21" s="37"/>
      <c r="K21" s="65"/>
      <c r="L21" s="63"/>
      <c r="M21" s="65"/>
      <c r="N21" s="63"/>
      <c r="O21" s="63"/>
      <c r="P21" s="63"/>
      <c r="Q21" s="63"/>
      <c r="R21" s="63"/>
      <c r="S21" s="63"/>
      <c r="T21" s="63"/>
      <c r="U21" s="63"/>
      <c r="V21" s="63"/>
    </row>
    <row r="22" spans="1:22">
      <c r="A22" s="33" t="s">
        <v>38</v>
      </c>
      <c r="B22" s="34" t="s">
        <v>13</v>
      </c>
      <c r="C22" s="29">
        <f t="shared" si="1"/>
        <v>28.819975612459817</v>
      </c>
      <c r="D22" s="30">
        <f t="shared" si="2"/>
        <v>90.21</v>
      </c>
      <c r="E22" s="44">
        <v>2599.85</v>
      </c>
      <c r="F22" s="30">
        <v>22430</v>
      </c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</row>
    <row r="23" spans="1:22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</row>
    <row r="24" spans="1:22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>
        <f>+H13+H14+H15</f>
        <v>158805</v>
      </c>
      <c r="I24" s="28">
        <f>+I13+I14+I15</f>
        <v>168423</v>
      </c>
      <c r="J24" s="28">
        <f>+J13+J14+J15</f>
        <v>759</v>
      </c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</row>
    <row r="25" spans="1:22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</row>
    <row r="26" spans="1:22">
      <c r="A26" s="30"/>
      <c r="B26" s="30"/>
      <c r="C26" s="29">
        <f>SUM(C15:C25)</f>
        <v>912.37390533200312</v>
      </c>
      <c r="D26" s="29"/>
      <c r="E26" s="29">
        <f>SUM(E15:E25)</f>
        <v>82305.25</v>
      </c>
      <c r="F26" s="30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</row>
    <row r="27" spans="1:22">
      <c r="H27">
        <f>1037.67*108.45</f>
        <v>112535.31150000001</v>
      </c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</row>
    <row r="28" spans="1:22"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</row>
    <row r="29" spans="1:22"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</row>
    <row r="30" spans="1:22"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</row>
    <row r="31" spans="1:22"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</row>
    <row r="32" spans="1:22">
      <c r="C32">
        <f>+C15+C16</f>
        <v>452.45482762443191</v>
      </c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</row>
    <row r="33" spans="8:22"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</row>
    <row r="34" spans="8:22"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</row>
    <row r="35" spans="8:22">
      <c r="H35" t="s">
        <v>32</v>
      </c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</row>
    <row r="36" spans="8:22"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</row>
    <row r="37" spans="8:22"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</row>
    <row r="38" spans="8:22"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</row>
    <row r="39" spans="8:22"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</row>
    <row r="40" spans="8:22"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</row>
    <row r="41" spans="8:22"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</row>
    <row r="42" spans="8:22"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</row>
    <row r="43" spans="8:22"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</row>
    <row r="44" spans="8:22"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</row>
    <row r="45" spans="8:22"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</row>
    <row r="46" spans="8:22"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</row>
    <row r="47" spans="8:22"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</row>
    <row r="48" spans="8:22"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</row>
    <row r="49" spans="5:22"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</row>
    <row r="50" spans="5:22">
      <c r="E50">
        <v>9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</row>
    <row r="51" spans="5:22"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</row>
    <row r="52" spans="5:22"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</row>
    <row r="53" spans="5:22"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</row>
    <row r="54" spans="5:22"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</row>
    <row r="55" spans="5:22"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</row>
    <row r="56" spans="5:22"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</row>
    <row r="57" spans="5:22"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50"/>
  <sheetViews>
    <sheetView topLeftCell="G2" workbookViewId="0">
      <selection activeCell="Q4" sqref="Q4:Q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6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6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6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399.3006318589957</v>
      </c>
    </row>
    <row r="4" spans="1:26" s="2" customFormat="1">
      <c r="A4" s="3" t="s">
        <v>14</v>
      </c>
      <c r="B4" s="12">
        <f>+(H13+H14+H15)/$C$4</f>
        <v>1728.61235794098</v>
      </c>
      <c r="C4" s="4">
        <v>104.71</v>
      </c>
      <c r="D4" s="5">
        <f>B4*C4</f>
        <v>181003</v>
      </c>
      <c r="E4" s="6">
        <v>0</v>
      </c>
      <c r="F4" s="7">
        <f>+E4*C4</f>
        <v>0</v>
      </c>
      <c r="G4" s="9">
        <f>+(H8*60%)/$C$4</f>
        <v>517.12000764014897</v>
      </c>
      <c r="H4" s="7">
        <f>+G4*C4</f>
        <v>54147.635999999999</v>
      </c>
      <c r="I4" s="6">
        <f>J4/C4</f>
        <v>0</v>
      </c>
      <c r="J4" s="7">
        <v>0</v>
      </c>
      <c r="K4" s="8">
        <f>+L8/$C$4</f>
        <v>71.721898577022259</v>
      </c>
      <c r="L4" s="7">
        <f>+K4*C4</f>
        <v>7510</v>
      </c>
      <c r="M4" s="9">
        <f>+(N8*60%)/$C$4</f>
        <v>418.20091681787795</v>
      </c>
      <c r="N4" s="7">
        <f>+M4*C4</f>
        <v>43789.817999999999</v>
      </c>
      <c r="O4" s="9"/>
      <c r="P4" s="7">
        <f>+O4*C4</f>
        <v>0</v>
      </c>
      <c r="Q4" s="6">
        <v>721.56953490593082</v>
      </c>
      <c r="R4" s="7">
        <f>+Q4*C4</f>
        <v>75555.546000000017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6" s="2" customFormat="1">
      <c r="A5" s="3" t="s">
        <v>16</v>
      </c>
      <c r="B5" s="12">
        <f>+(I13+I14+I15)/$C$5</f>
        <v>1882.5074825407385</v>
      </c>
      <c r="C5" s="4">
        <v>90.21</v>
      </c>
      <c r="D5" s="5">
        <f>B5*C5</f>
        <v>169821</v>
      </c>
      <c r="E5" s="6">
        <v>0</v>
      </c>
      <c r="F5" s="7">
        <f>+E5*C5</f>
        <v>0</v>
      </c>
      <c r="G5" s="6">
        <f>+(H8*40%)/$C$5</f>
        <v>400.15989358164285</v>
      </c>
      <c r="H5" s="7">
        <f>+G5*C5</f>
        <v>36098.423999999999</v>
      </c>
      <c r="I5" s="6">
        <f>+J8/C5</f>
        <v>3.3255736614566014</v>
      </c>
      <c r="J5" s="7">
        <f>+I5*C5</f>
        <v>300</v>
      </c>
      <c r="K5" s="6">
        <v>0</v>
      </c>
      <c r="L5" s="7">
        <f>+K5*C5</f>
        <v>0</v>
      </c>
      <c r="M5" s="6">
        <f>+(N8*40%)/$C$5</f>
        <v>323.61392306839599</v>
      </c>
      <c r="N5" s="7">
        <f>+M5*C5</f>
        <v>29193.212</v>
      </c>
      <c r="O5" s="9">
        <f>+P8/C5</f>
        <v>0</v>
      </c>
      <c r="P5" s="7">
        <f>+O5*C5</f>
        <v>0</v>
      </c>
      <c r="Q5" s="6">
        <v>756.10746037024728</v>
      </c>
      <c r="R5" s="7">
        <f>+Q5*C5</f>
        <v>68208.453999999998</v>
      </c>
      <c r="S5" s="10">
        <f>+X3</f>
        <v>399.3006318589957</v>
      </c>
      <c r="T5" s="7">
        <f>+S5*C5</f>
        <v>36020.909999999996</v>
      </c>
      <c r="U5" s="11">
        <f>+B5-E5-G5-Q5-S5-K5-I5-M5-O5</f>
        <v>1.1368683772161603E-13</v>
      </c>
      <c r="W5" t="s">
        <v>17</v>
      </c>
      <c r="X5" s="2">
        <f>+SUMIFS(C17:C27,B17:B27,W5)</f>
        <v>0</v>
      </c>
    </row>
    <row r="6" spans="1:26" s="2" customFormat="1">
      <c r="A6" s="3" t="s">
        <v>17</v>
      </c>
      <c r="B6" s="12">
        <f>+(J13+J14+J15)/$C$6</f>
        <v>77.24290780141844</v>
      </c>
      <c r="C6" s="4">
        <v>112.8</v>
      </c>
      <c r="D6" s="5">
        <f>B6*C6</f>
        <v>8713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77.24290780141844</v>
      </c>
      <c r="R6" s="7">
        <f>+Q6*C6</f>
        <v>8713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6" s="2" customFormat="1">
      <c r="A7" s="3"/>
      <c r="B7" s="38">
        <f>SUM(B4:B6)</f>
        <v>3688.3627482831371</v>
      </c>
      <c r="C7" s="3"/>
      <c r="D7" s="13">
        <f t="shared" ref="D7:T7" si="0">SUM(D4:D6)</f>
        <v>359537</v>
      </c>
      <c r="E7" s="14">
        <f t="shared" si="0"/>
        <v>0</v>
      </c>
      <c r="F7" s="15">
        <f t="shared" si="0"/>
        <v>0</v>
      </c>
      <c r="G7" s="14">
        <f t="shared" si="0"/>
        <v>917.27990122179176</v>
      </c>
      <c r="H7" s="15">
        <f t="shared" si="0"/>
        <v>90246.06</v>
      </c>
      <c r="I7" s="14">
        <f t="shared" si="0"/>
        <v>3.3255736614566014</v>
      </c>
      <c r="J7" s="15">
        <f t="shared" si="0"/>
        <v>300</v>
      </c>
      <c r="K7" s="14">
        <f t="shared" si="0"/>
        <v>71.721898577022259</v>
      </c>
      <c r="L7" s="15">
        <f t="shared" si="0"/>
        <v>7510</v>
      </c>
      <c r="M7" s="14">
        <f t="shared" si="0"/>
        <v>741.81483988627394</v>
      </c>
      <c r="N7" s="15">
        <f t="shared" si="0"/>
        <v>72983.03</v>
      </c>
      <c r="O7" s="14">
        <f t="shared" si="0"/>
        <v>0</v>
      </c>
      <c r="P7" s="15">
        <f t="shared" si="0"/>
        <v>0</v>
      </c>
      <c r="Q7" s="14">
        <f t="shared" si="0"/>
        <v>1554.9199030775965</v>
      </c>
      <c r="R7" s="15">
        <f t="shared" si="0"/>
        <v>152477</v>
      </c>
      <c r="S7" s="14">
        <f t="shared" si="0"/>
        <v>399.3006318589957</v>
      </c>
      <c r="T7" s="15">
        <f t="shared" si="0"/>
        <v>36020.909999999996</v>
      </c>
      <c r="U7" s="11">
        <f>+B7-E7-G7-Q7-S7-K7-I7-M7-O7</f>
        <v>1.1368683772161603E-13</v>
      </c>
    </row>
    <row r="8" spans="1:26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90246.06</v>
      </c>
      <c r="I8" s="18"/>
      <c r="J8" s="19">
        <v>300</v>
      </c>
      <c r="K8" s="18"/>
      <c r="L8" s="19">
        <v>7510</v>
      </c>
      <c r="M8" s="20"/>
      <c r="N8" s="19">
        <v>72983.03</v>
      </c>
      <c r="O8" s="20" t="s">
        <v>19</v>
      </c>
      <c r="P8" s="19">
        <v>0</v>
      </c>
      <c r="Q8" s="18">
        <v>0</v>
      </c>
      <c r="R8" s="19">
        <v>134377</v>
      </c>
      <c r="S8" s="18"/>
      <c r="T8" s="19">
        <v>54120.91</v>
      </c>
      <c r="U8" s="17"/>
    </row>
    <row r="9" spans="1:26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18100</v>
      </c>
      <c r="S9" s="21"/>
      <c r="T9" s="22">
        <f>+T7-T8</f>
        <v>-18100.000000000007</v>
      </c>
      <c r="U9" s="23"/>
    </row>
    <row r="10" spans="1:26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6">
      <c r="A11" s="26" t="s">
        <v>21</v>
      </c>
      <c r="D11" s="27">
        <f>+D7-F8-H8-L8-J8-R8-T8-N8-P8</f>
        <v>0</v>
      </c>
      <c r="F11" s="28"/>
      <c r="M11" s="28"/>
    </row>
    <row r="12" spans="1:26">
      <c r="F12" s="28"/>
      <c r="G12" s="28"/>
      <c r="H12" s="29" t="s">
        <v>14</v>
      </c>
      <c r="I12" s="29" t="s">
        <v>16</v>
      </c>
      <c r="J12" s="29" t="s">
        <v>22</v>
      </c>
    </row>
    <row r="13" spans="1:26">
      <c r="A13" s="58" t="s">
        <v>23</v>
      </c>
      <c r="B13" s="59"/>
      <c r="C13" s="59"/>
      <c r="D13" s="59"/>
      <c r="E13" s="59"/>
      <c r="F13" s="57"/>
      <c r="H13" s="30">
        <v>91851</v>
      </c>
      <c r="I13" s="36">
        <v>55774</v>
      </c>
      <c r="J13" s="60">
        <v>8713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89152</v>
      </c>
      <c r="I14" s="36">
        <v>52251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>
      <c r="A15" s="33" t="s">
        <v>41</v>
      </c>
      <c r="B15" s="34" t="s">
        <v>13</v>
      </c>
      <c r="C15" s="29">
        <f t="shared" ref="C15:C25" si="1">+E15/D15</f>
        <v>362.61999778295092</v>
      </c>
      <c r="D15" s="30">
        <f t="shared" ref="D15:D25" si="2">+VLOOKUP(B15,A$4:C$6,3,0)</f>
        <v>90.21</v>
      </c>
      <c r="E15" s="42">
        <v>32711.95</v>
      </c>
      <c r="F15" s="34">
        <v>22431</v>
      </c>
      <c r="H15" s="36"/>
      <c r="I15" s="36">
        <v>61796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>
      <c r="A16" s="33" t="s">
        <v>36</v>
      </c>
      <c r="B16" s="34" t="s">
        <v>13</v>
      </c>
      <c r="C16" s="29">
        <f t="shared" si="1"/>
        <v>36.68063407604479</v>
      </c>
      <c r="D16" s="30">
        <f t="shared" si="2"/>
        <v>90.21</v>
      </c>
      <c r="E16" s="42">
        <v>3308.96</v>
      </c>
      <c r="F16" s="34">
        <v>22433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>
      <c r="A26" s="30"/>
      <c r="B26" s="30"/>
      <c r="C26" s="29">
        <f>SUM(C15:C25)</f>
        <v>399.3006318589957</v>
      </c>
      <c r="D26" s="29"/>
      <c r="E26" s="29">
        <f>SUM(E15:E25)</f>
        <v>36020.910000000003</v>
      </c>
      <c r="F26" s="30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>
      <c r="C32">
        <f>+C15+C16</f>
        <v>399.3006318589957</v>
      </c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1:26"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1:26"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1:26"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1:26"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1:26"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1:26"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1:26"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1:26"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1:26"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1:26"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1:26"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1:26"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1:26"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2"/>
  <sheetViews>
    <sheetView topLeftCell="G1" workbookViewId="0">
      <selection activeCell="V2" sqref="V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604.51158408158744</v>
      </c>
    </row>
    <row r="4" spans="1:24" s="2" customFormat="1">
      <c r="A4" s="3" t="s">
        <v>14</v>
      </c>
      <c r="B4" s="12">
        <f>+(H13+H14+H15)/$C$4</f>
        <v>1409.4260338076592</v>
      </c>
      <c r="C4" s="4">
        <v>104.71</v>
      </c>
      <c r="D4" s="5">
        <f>B4*C4</f>
        <v>147581</v>
      </c>
      <c r="E4" s="6">
        <v>0</v>
      </c>
      <c r="F4" s="7">
        <f>+E4*C4</f>
        <v>0</v>
      </c>
      <c r="G4" s="9">
        <f>+(H8*60%)/$C$4</f>
        <v>335.30860471779198</v>
      </c>
      <c r="H4" s="7">
        <f>+G4*C4</f>
        <v>35110.163999999997</v>
      </c>
      <c r="I4" s="6">
        <f>J4/C4</f>
        <v>0</v>
      </c>
      <c r="J4" s="7">
        <v>0</v>
      </c>
      <c r="K4" s="8">
        <f>+L8/$C$4</f>
        <v>14.649985674720657</v>
      </c>
      <c r="L4" s="7">
        <f>+K4*C4</f>
        <v>1534</v>
      </c>
      <c r="M4" s="9">
        <f>+(N8*60%)/$C$4</f>
        <v>404.12128736510357</v>
      </c>
      <c r="N4" s="7">
        <f>+M4*C4</f>
        <v>42315.539999999994</v>
      </c>
      <c r="O4" s="9"/>
      <c r="P4" s="7">
        <f>+O4*C4</f>
        <v>0</v>
      </c>
      <c r="Q4" s="6">
        <v>655.34615605004296</v>
      </c>
      <c r="R4" s="7">
        <f>+Q4*C4</f>
        <v>68621.295999999988</v>
      </c>
      <c r="S4" s="10">
        <f>+X4</f>
        <v>0</v>
      </c>
      <c r="T4" s="7">
        <f>+S4*C4</f>
        <v>0</v>
      </c>
      <c r="U4" s="11">
        <f>+B4-E4-G4-Q4-S4-K4-I4-M4-O4</f>
        <v>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1484.4030595277686</v>
      </c>
      <c r="C5" s="4">
        <v>90.21</v>
      </c>
      <c r="D5" s="5">
        <f>B5*C5</f>
        <v>133908</v>
      </c>
      <c r="E5" s="6">
        <v>0</v>
      </c>
      <c r="F5" s="7">
        <f>+E5*C5</f>
        <v>0</v>
      </c>
      <c r="G5" s="6">
        <f>+(H8*40%)/$C$5</f>
        <v>259.46985921738172</v>
      </c>
      <c r="H5" s="7">
        <f>+G5*C5</f>
        <v>23406.776000000005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312.7187673206962</v>
      </c>
      <c r="N5" s="7">
        <f>+M5*C5</f>
        <v>28210.360000000004</v>
      </c>
      <c r="O5" s="9">
        <f>+P8/C5</f>
        <v>0</v>
      </c>
      <c r="P5" s="7">
        <f>+O5*C5</f>
        <v>0</v>
      </c>
      <c r="Q5" s="6">
        <v>307.70284890810319</v>
      </c>
      <c r="R5" s="7">
        <f>+Q5*C5</f>
        <v>27757.873999999985</v>
      </c>
      <c r="S5" s="10">
        <f>+X3</f>
        <v>604.51158408158744</v>
      </c>
      <c r="T5" s="7">
        <f>+S5*C5</f>
        <v>54532.99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32.641843971631204</v>
      </c>
      <c r="C6" s="4">
        <v>112.8</v>
      </c>
      <c r="D6" s="5">
        <f>B6*C6</f>
        <v>3681.9999999999995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32.641843971631204</v>
      </c>
      <c r="R6" s="7">
        <f>+Q6*C6</f>
        <v>3681.9999999999995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2926.4709373070591</v>
      </c>
      <c r="C7" s="3"/>
      <c r="D7" s="13">
        <f t="shared" ref="D7:T7" si="0">SUM(D4:D6)</f>
        <v>285171</v>
      </c>
      <c r="E7" s="14">
        <f t="shared" si="0"/>
        <v>0</v>
      </c>
      <c r="F7" s="15">
        <f t="shared" si="0"/>
        <v>0</v>
      </c>
      <c r="G7" s="14">
        <f t="shared" si="0"/>
        <v>594.7784639351737</v>
      </c>
      <c r="H7" s="15">
        <f t="shared" si="0"/>
        <v>58516.94</v>
      </c>
      <c r="I7" s="14">
        <f t="shared" si="0"/>
        <v>0</v>
      </c>
      <c r="J7" s="15">
        <f t="shared" si="0"/>
        <v>0</v>
      </c>
      <c r="K7" s="14">
        <f t="shared" si="0"/>
        <v>14.649985674720657</v>
      </c>
      <c r="L7" s="15">
        <f t="shared" si="0"/>
        <v>1534</v>
      </c>
      <c r="M7" s="14">
        <f t="shared" si="0"/>
        <v>716.84005468579971</v>
      </c>
      <c r="N7" s="15">
        <f t="shared" si="0"/>
        <v>70525.899999999994</v>
      </c>
      <c r="O7" s="14">
        <f t="shared" si="0"/>
        <v>0</v>
      </c>
      <c r="P7" s="15">
        <f t="shared" si="0"/>
        <v>0</v>
      </c>
      <c r="Q7" s="14">
        <f t="shared" si="0"/>
        <v>995.6908489297773</v>
      </c>
      <c r="R7" s="15">
        <f t="shared" si="0"/>
        <v>100061.16999999997</v>
      </c>
      <c r="S7" s="14">
        <f t="shared" si="0"/>
        <v>604.51158408158744</v>
      </c>
      <c r="T7" s="15">
        <f t="shared" si="0"/>
        <v>54532.99</v>
      </c>
      <c r="U7" s="11">
        <f>+B7-E7-G7-Q7-S7-K7-I7-M7-O7</f>
        <v>0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58516.94</v>
      </c>
      <c r="I8" s="18"/>
      <c r="J8" s="19">
        <v>0</v>
      </c>
      <c r="K8" s="18"/>
      <c r="L8" s="19">
        <v>1534</v>
      </c>
      <c r="M8" s="20"/>
      <c r="N8" s="19">
        <v>70525.899999999994</v>
      </c>
      <c r="O8" s="20" t="s">
        <v>19</v>
      </c>
      <c r="P8" s="19">
        <v>0</v>
      </c>
      <c r="Q8" s="18">
        <v>0</v>
      </c>
      <c r="R8" s="19">
        <v>96271</v>
      </c>
      <c r="S8" s="18"/>
      <c r="T8" s="19">
        <v>58323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3790.1699999999691</v>
      </c>
      <c r="S9" s="21"/>
      <c r="T9" s="22">
        <f>+T7-T8</f>
        <v>-3790.010000000002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0.16000000000349246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59685</v>
      </c>
      <c r="I13" s="36">
        <v>39554</v>
      </c>
      <c r="J13" s="60">
        <v>3682</v>
      </c>
      <c r="K13" s="63"/>
      <c r="L13" s="63"/>
      <c r="M13" s="63"/>
      <c r="N13" s="63"/>
      <c r="O13" s="63"/>
      <c r="P13" s="63"/>
      <c r="Q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87896</v>
      </c>
      <c r="I14" s="36">
        <v>36538</v>
      </c>
      <c r="J14" s="60"/>
      <c r="K14" s="64"/>
      <c r="L14" s="64"/>
      <c r="M14" s="64"/>
      <c r="N14" s="63"/>
      <c r="O14" s="63"/>
      <c r="P14" s="63"/>
      <c r="Q14" s="63"/>
    </row>
    <row r="15" spans="1:24">
      <c r="A15" s="33" t="s">
        <v>37</v>
      </c>
      <c r="B15" s="34" t="s">
        <v>13</v>
      </c>
      <c r="C15" s="29">
        <f t="shared" ref="C15:C25" si="1">+E15/D15</f>
        <v>38.140893470790381</v>
      </c>
      <c r="D15" s="30">
        <f t="shared" ref="D15:D25" si="2">+VLOOKUP(B15,A$4:C$6,3,0)</f>
        <v>90.21</v>
      </c>
      <c r="E15" s="42">
        <v>3440.69</v>
      </c>
      <c r="F15" s="34">
        <v>22434</v>
      </c>
      <c r="H15" s="36"/>
      <c r="I15" s="36">
        <v>57816</v>
      </c>
      <c r="J15" s="61"/>
      <c r="K15" s="65"/>
      <c r="L15" s="63"/>
      <c r="M15" s="63"/>
      <c r="N15" s="63"/>
      <c r="O15" s="63"/>
      <c r="P15" s="63"/>
      <c r="Q15" s="63"/>
      <c r="V15">
        <f>2123+9236+3417.23+18069.1</f>
        <v>32845.33</v>
      </c>
    </row>
    <row r="16" spans="1:24">
      <c r="A16" s="33" t="s">
        <v>30</v>
      </c>
      <c r="B16" s="34" t="s">
        <v>13</v>
      </c>
      <c r="C16" s="29">
        <f t="shared" si="1"/>
        <v>209.57089014521674</v>
      </c>
      <c r="D16" s="30">
        <f t="shared" si="2"/>
        <v>90.21</v>
      </c>
      <c r="E16" s="42">
        <v>18905.39</v>
      </c>
      <c r="F16" s="34">
        <v>22435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</row>
    <row r="17" spans="1:17">
      <c r="A17" s="33" t="s">
        <v>33</v>
      </c>
      <c r="B17" s="34" t="s">
        <v>13</v>
      </c>
      <c r="C17" s="29">
        <f t="shared" si="1"/>
        <v>262.53996231016521</v>
      </c>
      <c r="D17" s="30">
        <f t="shared" si="2"/>
        <v>90.21</v>
      </c>
      <c r="E17" s="44">
        <v>23683.73</v>
      </c>
      <c r="F17" s="34">
        <v>22436</v>
      </c>
      <c r="H17" s="28"/>
      <c r="K17" s="65"/>
      <c r="L17" s="63"/>
      <c r="M17" s="63"/>
      <c r="N17" s="63"/>
      <c r="O17" s="63"/>
      <c r="P17" s="63"/>
      <c r="Q17" s="63"/>
    </row>
    <row r="18" spans="1:17">
      <c r="A18" s="33" t="s">
        <v>36</v>
      </c>
      <c r="B18" s="34" t="s">
        <v>13</v>
      </c>
      <c r="C18" s="29">
        <f t="shared" si="1"/>
        <v>42.169936814100438</v>
      </c>
      <c r="D18" s="30">
        <f t="shared" si="2"/>
        <v>90.21</v>
      </c>
      <c r="E18" s="44">
        <v>3804.15</v>
      </c>
      <c r="F18" s="34">
        <v>22437</v>
      </c>
      <c r="H18" s="68"/>
      <c r="I18" s="68"/>
      <c r="J18" s="68"/>
      <c r="K18" s="69"/>
      <c r="L18" s="63"/>
      <c r="M18" s="63"/>
      <c r="N18" s="63"/>
      <c r="O18" s="63"/>
      <c r="P18" s="63"/>
      <c r="Q18" s="63"/>
    </row>
    <row r="19" spans="1:17">
      <c r="A19" s="33" t="s">
        <v>35</v>
      </c>
      <c r="B19" s="34" t="s">
        <v>13</v>
      </c>
      <c r="C19" s="29">
        <f t="shared" si="1"/>
        <v>52.089901341314707</v>
      </c>
      <c r="D19" s="30">
        <f t="shared" si="2"/>
        <v>90.21</v>
      </c>
      <c r="E19" s="44">
        <v>4699.03</v>
      </c>
      <c r="F19" s="39">
        <v>22438</v>
      </c>
      <c r="H19" s="68"/>
      <c r="I19" s="68"/>
      <c r="J19" s="68"/>
      <c r="K19" s="70"/>
      <c r="L19" s="63"/>
      <c r="M19" s="65"/>
      <c r="N19" s="63"/>
      <c r="O19" s="63"/>
      <c r="P19" s="63"/>
      <c r="Q19" s="63"/>
    </row>
    <row r="20" spans="1:17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3"/>
      <c r="M20" s="69"/>
      <c r="N20" s="63"/>
      <c r="O20" s="63"/>
      <c r="P20" s="63"/>
      <c r="Q20" s="63"/>
    </row>
    <row r="21" spans="1:17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3"/>
      <c r="M21" s="65"/>
      <c r="N21" s="63"/>
      <c r="O21" s="63"/>
      <c r="P21" s="63"/>
      <c r="Q21" s="63"/>
    </row>
    <row r="22" spans="1:17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3"/>
      <c r="M22" s="63"/>
      <c r="N22" s="63"/>
      <c r="O22" s="63"/>
      <c r="P22" s="63"/>
      <c r="Q22" s="63"/>
    </row>
    <row r="23" spans="1:1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3"/>
      <c r="M23" s="63"/>
      <c r="N23" s="63"/>
      <c r="O23" s="63"/>
      <c r="P23" s="63"/>
      <c r="Q23" s="63"/>
    </row>
    <row r="24" spans="1:1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3"/>
      <c r="M24" s="63"/>
      <c r="N24" s="63"/>
      <c r="O24" s="63"/>
      <c r="P24" s="63"/>
      <c r="Q24" s="63"/>
    </row>
    <row r="25" spans="1:1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3"/>
      <c r="M25" s="63"/>
      <c r="N25" s="63"/>
      <c r="O25" s="63"/>
      <c r="P25" s="63"/>
      <c r="Q25" s="63"/>
    </row>
    <row r="26" spans="1:17">
      <c r="A26" s="30"/>
      <c r="B26" s="30"/>
      <c r="C26" s="29">
        <f>SUM(C15:C25)</f>
        <v>604.51158408158744</v>
      </c>
      <c r="D26" s="29"/>
      <c r="E26" s="29">
        <f>SUM(E15:E25)</f>
        <v>54532.99</v>
      </c>
      <c r="F26" s="30"/>
      <c r="H26" s="68"/>
      <c r="I26" s="68"/>
      <c r="J26" s="68"/>
      <c r="K26" s="69"/>
      <c r="L26" s="63"/>
      <c r="M26" s="63"/>
      <c r="N26" s="63"/>
      <c r="O26" s="63"/>
      <c r="P26" s="63"/>
      <c r="Q26" s="63"/>
    </row>
    <row r="27" spans="1:17">
      <c r="H27" s="68"/>
      <c r="I27" s="68"/>
      <c r="J27" s="68"/>
      <c r="K27" s="69"/>
      <c r="L27" s="63"/>
      <c r="M27" s="63"/>
      <c r="N27" s="63"/>
      <c r="O27" s="63"/>
      <c r="P27" s="63"/>
      <c r="Q27" s="63"/>
    </row>
    <row r="28" spans="1:17">
      <c r="H28" s="68"/>
      <c r="I28" s="68"/>
      <c r="J28" s="68"/>
      <c r="K28" s="69"/>
      <c r="L28" s="63"/>
      <c r="M28" s="63"/>
      <c r="N28" s="63"/>
      <c r="O28" s="63"/>
      <c r="P28" s="63"/>
      <c r="Q28" s="63"/>
    </row>
    <row r="29" spans="1:17">
      <c r="H29" s="68"/>
      <c r="I29" s="68"/>
      <c r="J29" s="68"/>
      <c r="K29" s="69"/>
      <c r="L29" s="63"/>
      <c r="M29" s="63"/>
      <c r="N29" s="63"/>
      <c r="O29" s="63"/>
      <c r="P29" s="63"/>
      <c r="Q29" s="63"/>
    </row>
    <row r="30" spans="1:17">
      <c r="H30" s="68"/>
      <c r="I30" s="68"/>
      <c r="J30" s="68"/>
      <c r="K30" s="69"/>
      <c r="L30" s="63"/>
      <c r="M30" s="63"/>
      <c r="N30" s="63"/>
      <c r="O30" s="63"/>
      <c r="P30" s="63"/>
      <c r="Q30" s="63"/>
    </row>
    <row r="31" spans="1:17">
      <c r="H31" s="68"/>
      <c r="I31" s="68"/>
      <c r="J31" s="68"/>
      <c r="K31" s="69"/>
      <c r="L31" s="63"/>
      <c r="M31" s="63"/>
      <c r="N31" s="63"/>
      <c r="O31" s="63"/>
      <c r="P31" s="63"/>
      <c r="Q31" s="63"/>
    </row>
    <row r="32" spans="1:17">
      <c r="C32">
        <f>+C15+C16</f>
        <v>247.71178361600712</v>
      </c>
      <c r="H32" s="68"/>
      <c r="I32" s="68"/>
      <c r="J32" s="68"/>
      <c r="K32" s="69"/>
      <c r="L32" s="63"/>
      <c r="M32" s="63"/>
      <c r="N32" s="63"/>
      <c r="O32" s="63"/>
      <c r="P32" s="63"/>
      <c r="Q32" s="63"/>
    </row>
    <row r="33" spans="8:17">
      <c r="H33" s="68"/>
      <c r="I33" s="68"/>
      <c r="J33" s="68"/>
      <c r="K33" s="69"/>
      <c r="L33" s="63"/>
      <c r="M33" s="63"/>
      <c r="N33" s="63"/>
      <c r="O33" s="63"/>
      <c r="P33" s="63"/>
      <c r="Q33" s="63"/>
    </row>
    <row r="34" spans="8:17">
      <c r="H34" s="68"/>
      <c r="I34" s="68"/>
      <c r="J34" s="68"/>
      <c r="K34" s="69"/>
      <c r="L34" s="63"/>
      <c r="M34" s="63"/>
      <c r="N34" s="63"/>
      <c r="O34" s="63"/>
      <c r="P34" s="63"/>
      <c r="Q34" s="63"/>
    </row>
    <row r="35" spans="8:17">
      <c r="H35" s="68"/>
      <c r="I35" s="68"/>
      <c r="J35" s="68"/>
      <c r="K35" s="69"/>
      <c r="L35" s="63"/>
      <c r="M35" s="63"/>
      <c r="N35" s="63"/>
      <c r="O35" s="63"/>
      <c r="P35" s="63"/>
      <c r="Q35" s="63"/>
    </row>
    <row r="36" spans="8:17">
      <c r="K36" s="63"/>
      <c r="L36" s="63"/>
      <c r="M36" s="63"/>
      <c r="N36" s="63"/>
      <c r="O36" s="63"/>
      <c r="P36" s="63"/>
      <c r="Q36" s="63"/>
    </row>
    <row r="37" spans="8:17">
      <c r="K37" s="63"/>
      <c r="L37" s="63"/>
      <c r="M37" s="63"/>
      <c r="N37" s="63"/>
      <c r="O37" s="63"/>
      <c r="P37" s="63"/>
      <c r="Q37" s="63"/>
    </row>
    <row r="38" spans="8:17">
      <c r="K38" s="63"/>
      <c r="L38" s="63"/>
      <c r="M38" s="63"/>
      <c r="N38" s="63"/>
      <c r="O38" s="63"/>
      <c r="P38" s="63"/>
      <c r="Q38" s="63"/>
    </row>
    <row r="39" spans="8:17">
      <c r="K39" s="63"/>
      <c r="L39" s="63"/>
      <c r="M39" s="63"/>
      <c r="N39" s="63"/>
      <c r="O39" s="63"/>
      <c r="P39" s="63"/>
      <c r="Q39" s="63"/>
    </row>
    <row r="40" spans="8:17">
      <c r="K40" s="63"/>
      <c r="L40" s="63"/>
      <c r="M40" s="63"/>
      <c r="N40" s="63"/>
      <c r="O40" s="63"/>
      <c r="P40" s="63"/>
      <c r="Q40" s="63"/>
    </row>
    <row r="41" spans="8:17">
      <c r="K41" s="63"/>
      <c r="L41" s="63"/>
      <c r="M41" s="63"/>
      <c r="N41" s="63"/>
      <c r="O41" s="63"/>
      <c r="P41" s="63"/>
      <c r="Q41" s="63"/>
    </row>
    <row r="42" spans="8:17">
      <c r="K42" s="63"/>
      <c r="L42" s="63"/>
      <c r="M42" s="63"/>
      <c r="N42" s="63"/>
      <c r="O42" s="63"/>
      <c r="P42" s="63"/>
      <c r="Q42" s="63"/>
    </row>
    <row r="43" spans="8:17">
      <c r="K43" s="63"/>
      <c r="L43" s="63"/>
      <c r="M43" s="63"/>
      <c r="N43" s="63"/>
      <c r="O43" s="63"/>
      <c r="P43" s="63"/>
      <c r="Q43" s="63"/>
    </row>
    <row r="44" spans="8:17">
      <c r="K44" s="63"/>
      <c r="L44" s="63"/>
      <c r="M44" s="63"/>
      <c r="N44" s="63"/>
      <c r="O44" s="63"/>
      <c r="P44" s="63"/>
      <c r="Q44" s="63"/>
    </row>
    <row r="45" spans="8:17">
      <c r="K45" s="63"/>
      <c r="L45" s="63"/>
      <c r="M45" s="63"/>
      <c r="N45" s="63"/>
      <c r="O45" s="63"/>
      <c r="P45" s="63"/>
      <c r="Q45" s="63"/>
    </row>
    <row r="46" spans="8:17">
      <c r="K46" s="63"/>
      <c r="L46" s="63"/>
      <c r="M46" s="63"/>
      <c r="N46" s="63"/>
      <c r="O46" s="63"/>
      <c r="P46" s="63"/>
      <c r="Q46" s="63"/>
    </row>
    <row r="47" spans="8:17">
      <c r="K47" s="63"/>
      <c r="L47" s="63"/>
      <c r="M47" s="63"/>
      <c r="N47" s="63"/>
      <c r="O47" s="63"/>
      <c r="P47" s="63"/>
      <c r="Q47" s="63"/>
    </row>
    <row r="48" spans="8:17">
      <c r="K48" s="63"/>
      <c r="L48" s="63"/>
      <c r="M48" s="63"/>
      <c r="N48" s="63"/>
      <c r="O48" s="63"/>
      <c r="P48" s="63"/>
      <c r="Q48" s="63"/>
    </row>
    <row r="49" spans="5:17">
      <c r="K49" s="63"/>
      <c r="L49" s="63"/>
      <c r="M49" s="63"/>
      <c r="N49" s="63"/>
      <c r="O49" s="63"/>
      <c r="P49" s="63"/>
      <c r="Q49" s="63"/>
    </row>
    <row r="50" spans="5:17">
      <c r="E50">
        <v>9</v>
      </c>
      <c r="K50" s="63"/>
      <c r="L50" s="63"/>
      <c r="M50" s="63"/>
      <c r="N50" s="63"/>
      <c r="O50" s="63"/>
      <c r="P50" s="63"/>
      <c r="Q50" s="63"/>
    </row>
    <row r="51" spans="5:17">
      <c r="K51" s="63"/>
      <c r="L51" s="63"/>
      <c r="M51" s="63"/>
      <c r="N51" s="63"/>
      <c r="O51" s="63"/>
      <c r="P51" s="63"/>
      <c r="Q51" s="63"/>
    </row>
    <row r="52" spans="5:17">
      <c r="K52" s="63"/>
      <c r="L52" s="63"/>
      <c r="M52" s="63"/>
      <c r="N52" s="63"/>
      <c r="O52" s="63"/>
      <c r="P52" s="63"/>
      <c r="Q52" s="63"/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1"/>
  <sheetViews>
    <sheetView topLeftCell="J1" workbookViewId="0">
      <selection activeCell="Q4" sqref="Q4:Q6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425.84935151313607</v>
      </c>
    </row>
    <row r="4" spans="1:24" s="2" customFormat="1">
      <c r="A4" s="3" t="s">
        <v>14</v>
      </c>
      <c r="B4" s="12">
        <f>+(H13+H14+H15)/$C$4</f>
        <v>1892.2356985961228</v>
      </c>
      <c r="C4" s="4">
        <v>104.71</v>
      </c>
      <c r="D4" s="5">
        <f>B4*C4</f>
        <v>198136</v>
      </c>
      <c r="E4" s="6">
        <v>0</v>
      </c>
      <c r="F4" s="7">
        <f>+E4*C4</f>
        <v>0</v>
      </c>
      <c r="G4" s="9">
        <f>+(H8*60%)/$C$4</f>
        <v>401.73475312768602</v>
      </c>
      <c r="H4" s="7">
        <f>+G4*C4</f>
        <v>42065.646000000001</v>
      </c>
      <c r="I4" s="6">
        <f>J4/C4</f>
        <v>0</v>
      </c>
      <c r="J4" s="7">
        <v>0</v>
      </c>
      <c r="K4" s="8">
        <f>+L8/$C$4</f>
        <v>155.1961608251361</v>
      </c>
      <c r="L4" s="7">
        <f>+K4*C4</f>
        <v>16250.59</v>
      </c>
      <c r="M4" s="9">
        <f>+(N8*60%)/$C$4</f>
        <v>665.08564607009839</v>
      </c>
      <c r="N4" s="7">
        <f>+M4*C4</f>
        <v>69641.118000000002</v>
      </c>
      <c r="O4" s="9"/>
      <c r="P4" s="7">
        <f>+O4*C4</f>
        <v>0</v>
      </c>
      <c r="Q4" s="6">
        <v>670.21913857320237</v>
      </c>
      <c r="R4" s="7">
        <f>+Q4*C4</f>
        <v>70178.646000000022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1765.1923290100876</v>
      </c>
      <c r="C5" s="4">
        <v>90.21</v>
      </c>
      <c r="D5" s="5">
        <f>B5*C5</f>
        <v>159238</v>
      </c>
      <c r="E5" s="6">
        <v>0</v>
      </c>
      <c r="F5" s="7">
        <f>+E5*C5</f>
        <v>0</v>
      </c>
      <c r="G5" s="6">
        <f>+(H8*40%)/$C$5</f>
        <v>310.87200975501611</v>
      </c>
      <c r="H5" s="7">
        <f>+G5*C5</f>
        <v>28043.764000000003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514.65926172264722</v>
      </c>
      <c r="N5" s="7">
        <f>+M5*C5</f>
        <v>46427.412000000004</v>
      </c>
      <c r="O5" s="9">
        <f>+P8/C5</f>
        <v>0</v>
      </c>
      <c r="P5" s="7">
        <f>+O5*C5</f>
        <v>0</v>
      </c>
      <c r="Q5" s="6">
        <v>513.81170601928829</v>
      </c>
      <c r="R5" s="7">
        <f>+Q5*C5</f>
        <v>46350.953999999991</v>
      </c>
      <c r="S5" s="10">
        <f>+X3</f>
        <v>425.84935151313607</v>
      </c>
      <c r="T5" s="7">
        <f>+S5*C5</f>
        <v>38415.870000000003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22.24290780141844</v>
      </c>
      <c r="C6" s="4">
        <v>112.8</v>
      </c>
      <c r="D6" s="5">
        <f>B6*C6</f>
        <v>2509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22.24290780141844</v>
      </c>
      <c r="R6" s="7">
        <f>+Q6*C6</f>
        <v>2509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3679.6709354076288</v>
      </c>
      <c r="C7" s="3"/>
      <c r="D7" s="13">
        <f t="shared" ref="D7:T7" si="0">SUM(D4:D6)</f>
        <v>359883</v>
      </c>
      <c r="E7" s="14">
        <f t="shared" si="0"/>
        <v>0</v>
      </c>
      <c r="F7" s="15">
        <f t="shared" si="0"/>
        <v>0</v>
      </c>
      <c r="G7" s="14">
        <f t="shared" si="0"/>
        <v>712.60676288270213</v>
      </c>
      <c r="H7" s="15">
        <f t="shared" si="0"/>
        <v>70109.41</v>
      </c>
      <c r="I7" s="14">
        <f t="shared" si="0"/>
        <v>0</v>
      </c>
      <c r="J7" s="15">
        <f t="shared" si="0"/>
        <v>0</v>
      </c>
      <c r="K7" s="14">
        <f t="shared" si="0"/>
        <v>155.1961608251361</v>
      </c>
      <c r="L7" s="15">
        <f t="shared" si="0"/>
        <v>16250.59</v>
      </c>
      <c r="M7" s="14">
        <f t="shared" si="0"/>
        <v>1179.7449077927456</v>
      </c>
      <c r="N7" s="15">
        <f t="shared" si="0"/>
        <v>116068.53</v>
      </c>
      <c r="O7" s="14">
        <f t="shared" si="0"/>
        <v>0</v>
      </c>
      <c r="P7" s="15">
        <f t="shared" si="0"/>
        <v>0</v>
      </c>
      <c r="Q7" s="14">
        <f t="shared" si="0"/>
        <v>1206.273752393909</v>
      </c>
      <c r="R7" s="15">
        <f t="shared" si="0"/>
        <v>119038.6</v>
      </c>
      <c r="S7" s="14">
        <f t="shared" si="0"/>
        <v>425.84935151313607</v>
      </c>
      <c r="T7" s="15">
        <f t="shared" si="0"/>
        <v>38415.870000000003</v>
      </c>
      <c r="U7" s="11">
        <f>+B7-E7-G7-Q7-S7-K7-I7-M7-O7</f>
        <v>-2.2737367544323206E-13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70109.41</v>
      </c>
      <c r="I8" s="18"/>
      <c r="J8" s="19">
        <v>0</v>
      </c>
      <c r="K8" s="18"/>
      <c r="L8" s="19">
        <v>16250.59</v>
      </c>
      <c r="M8" s="20"/>
      <c r="N8" s="19">
        <v>116068.53</v>
      </c>
      <c r="O8" s="20" t="s">
        <v>19</v>
      </c>
      <c r="P8" s="19">
        <v>0</v>
      </c>
      <c r="Q8" s="18">
        <v>0</v>
      </c>
      <c r="R8" s="19">
        <v>114225</v>
      </c>
      <c r="S8" s="18"/>
      <c r="T8" s="19">
        <v>43220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4813.6000000000058</v>
      </c>
      <c r="S9" s="21"/>
      <c r="T9" s="22">
        <f>+T7-T8</f>
        <v>-4804.1299999999974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9.4699999999429565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90393</v>
      </c>
      <c r="I13" s="36">
        <v>87814</v>
      </c>
      <c r="J13" s="60">
        <v>2509</v>
      </c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107743</v>
      </c>
      <c r="I14" s="36">
        <v>41934</v>
      </c>
      <c r="J14" s="60"/>
      <c r="K14" s="74"/>
      <c r="L14" s="74"/>
      <c r="M14" s="74"/>
      <c r="N14" s="69"/>
      <c r="O14" s="69"/>
      <c r="P14" s="69"/>
      <c r="Q14" s="69"/>
      <c r="R14" s="69"/>
      <c r="S14" s="69"/>
      <c r="T14" s="69"/>
      <c r="U14" s="69"/>
      <c r="V14" s="69"/>
    </row>
    <row r="15" spans="1:24">
      <c r="A15" s="33" t="s">
        <v>30</v>
      </c>
      <c r="B15" s="34" t="s">
        <v>13</v>
      </c>
      <c r="C15" s="29">
        <f t="shared" ref="C15:C25" si="1">+E15/D15</f>
        <v>29.389535528211951</v>
      </c>
      <c r="D15" s="30">
        <f t="shared" ref="D15:D25" si="2">+VLOOKUP(B15,A$4:C$6,3,0)</f>
        <v>90.21</v>
      </c>
      <c r="E15" s="42">
        <v>2651.23</v>
      </c>
      <c r="F15" s="34">
        <v>22439</v>
      </c>
      <c r="H15" s="36"/>
      <c r="I15" s="36">
        <v>29490</v>
      </c>
      <c r="J15" s="61"/>
      <c r="K15" s="70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</row>
    <row r="16" spans="1:24">
      <c r="A16" s="33" t="s">
        <v>41</v>
      </c>
      <c r="B16" s="34" t="s">
        <v>13</v>
      </c>
      <c r="C16" s="29">
        <f t="shared" si="1"/>
        <v>243.87994679082144</v>
      </c>
      <c r="D16" s="30">
        <f t="shared" si="2"/>
        <v>90.21</v>
      </c>
      <c r="E16" s="42">
        <v>22000.41</v>
      </c>
      <c r="F16" s="34">
        <v>22440</v>
      </c>
      <c r="H16" s="30">
        <f>+H24/C4</f>
        <v>0</v>
      </c>
      <c r="I16" s="43">
        <f>+I24/C5</f>
        <v>0</v>
      </c>
      <c r="J16" s="62">
        <f>+J24/C6</f>
        <v>0</v>
      </c>
      <c r="K16" s="70"/>
      <c r="L16" s="69"/>
      <c r="M16" s="70"/>
      <c r="N16" s="69"/>
      <c r="O16" s="69"/>
      <c r="P16" s="69"/>
      <c r="Q16" s="69"/>
      <c r="R16" s="69"/>
      <c r="S16" s="69"/>
      <c r="T16" s="69"/>
      <c r="U16" s="69"/>
      <c r="V16" s="69"/>
    </row>
    <row r="17" spans="1:22">
      <c r="A17" s="33" t="s">
        <v>41</v>
      </c>
      <c r="B17" s="34" t="s">
        <v>13</v>
      </c>
      <c r="C17" s="29">
        <f t="shared" si="1"/>
        <v>35</v>
      </c>
      <c r="D17" s="30">
        <f t="shared" si="2"/>
        <v>90.21</v>
      </c>
      <c r="E17" s="44">
        <v>3157.35</v>
      </c>
      <c r="F17" s="34">
        <v>22441</v>
      </c>
      <c r="H17" s="28"/>
      <c r="K17" s="70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</row>
    <row r="18" spans="1:22">
      <c r="A18" s="33" t="s">
        <v>35</v>
      </c>
      <c r="B18" s="34" t="s">
        <v>13</v>
      </c>
      <c r="C18" s="29">
        <f t="shared" si="1"/>
        <v>27.309943465247759</v>
      </c>
      <c r="D18" s="30">
        <f t="shared" si="2"/>
        <v>90.21</v>
      </c>
      <c r="E18" s="44">
        <v>2463.63</v>
      </c>
      <c r="F18" s="34">
        <v>22442</v>
      </c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</row>
    <row r="19" spans="1:22">
      <c r="A19" s="33" t="s">
        <v>33</v>
      </c>
      <c r="B19" s="34" t="s">
        <v>13</v>
      </c>
      <c r="C19" s="29">
        <f t="shared" si="1"/>
        <v>90.269925728854901</v>
      </c>
      <c r="D19" s="30">
        <f t="shared" si="2"/>
        <v>90.21</v>
      </c>
      <c r="E19" s="44">
        <v>8143.25</v>
      </c>
      <c r="F19" s="39">
        <v>22443</v>
      </c>
      <c r="K19" s="70"/>
      <c r="L19" s="69"/>
      <c r="M19" s="70"/>
      <c r="N19" s="69"/>
      <c r="O19" s="69"/>
      <c r="P19" s="69"/>
      <c r="Q19" s="69"/>
      <c r="R19" s="69"/>
      <c r="S19" s="69"/>
      <c r="T19" s="69"/>
      <c r="U19" s="69"/>
      <c r="V19" s="69"/>
    </row>
    <row r="20" spans="1:22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70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</row>
    <row r="21" spans="1:22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70"/>
      <c r="L21" s="69"/>
      <c r="M21" s="70"/>
      <c r="N21" s="69"/>
      <c r="O21" s="69"/>
      <c r="P21" s="69"/>
      <c r="Q21" s="69"/>
      <c r="R21" s="69"/>
      <c r="S21" s="69"/>
      <c r="T21" s="69"/>
      <c r="U21" s="69"/>
      <c r="V21" s="69"/>
    </row>
    <row r="22" spans="1:22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</row>
    <row r="23" spans="1:22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</row>
    <row r="24" spans="1:22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</row>
    <row r="25" spans="1:22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</row>
    <row r="26" spans="1:22">
      <c r="A26" s="30"/>
      <c r="B26" s="30"/>
      <c r="C26" s="29">
        <f>SUM(C15:C25)</f>
        <v>425.84935151313607</v>
      </c>
      <c r="D26" s="29"/>
      <c r="E26" s="29">
        <f>SUM(E15:E25)</f>
        <v>38415.869999999995</v>
      </c>
      <c r="F26" s="30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</row>
    <row r="27" spans="1:22"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</row>
    <row r="28" spans="1:22"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</row>
    <row r="29" spans="1:22"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</row>
    <row r="30" spans="1:22"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</row>
    <row r="31" spans="1:22"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</row>
    <row r="32" spans="1:22">
      <c r="C32">
        <f>+C15+C16</f>
        <v>273.26948231903339</v>
      </c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1:22"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</row>
    <row r="34" spans="11:22"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</row>
    <row r="35" spans="11:22"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</row>
    <row r="36" spans="11:22"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</row>
    <row r="37" spans="11:22"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</row>
    <row r="38" spans="11:22"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</row>
    <row r="39" spans="11:22"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</row>
    <row r="40" spans="11:22"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</row>
    <row r="41" spans="11:22"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</row>
    <row r="42" spans="11:22"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</row>
    <row r="43" spans="11:22"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</row>
    <row r="44" spans="11:22"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</row>
    <row r="45" spans="11:22"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</row>
    <row r="46" spans="11:22"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</row>
    <row r="47" spans="11:22"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</row>
    <row r="48" spans="11:22"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</row>
    <row r="49" spans="5:22"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</row>
    <row r="50" spans="5:22">
      <c r="E50">
        <v>9</v>
      </c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</row>
    <row r="51" spans="5:22"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50"/>
  <sheetViews>
    <sheetView topLeftCell="O1" workbookViewId="0">
      <selection activeCell="AH2" sqref="AH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538.62432102871094</v>
      </c>
    </row>
    <row r="4" spans="1:24" s="2" customFormat="1">
      <c r="A4" s="3" t="s">
        <v>14</v>
      </c>
      <c r="B4" s="12">
        <f>+(H13+H14+H15)/$C$4</f>
        <v>1934.0655142775286</v>
      </c>
      <c r="C4" s="4">
        <v>104.71</v>
      </c>
      <c r="D4" s="5">
        <f>B4*C4</f>
        <v>202516</v>
      </c>
      <c r="E4" s="6">
        <v>0</v>
      </c>
      <c r="F4" s="7">
        <f>+E4*C4</f>
        <v>0</v>
      </c>
      <c r="G4" s="9">
        <f>+(H8*60%)/$C$4</f>
        <v>416.80935918250407</v>
      </c>
      <c r="H4" s="7">
        <f>+G4*C4</f>
        <v>43644.108</v>
      </c>
      <c r="I4" s="6">
        <f>J4/C4</f>
        <v>0</v>
      </c>
      <c r="J4" s="7">
        <v>0</v>
      </c>
      <c r="K4" s="8">
        <f>+L8/$C$4</f>
        <v>25.58494890650368</v>
      </c>
      <c r="L4" s="7">
        <f>+K4*C4</f>
        <v>2679</v>
      </c>
      <c r="M4" s="9">
        <f>+(N8*60%)/$C$4</f>
        <v>690.27292522204186</v>
      </c>
      <c r="N4" s="7">
        <f>+M4*C4</f>
        <v>72278.478000000003</v>
      </c>
      <c r="O4" s="9"/>
      <c r="P4" s="7">
        <f>+O4*C4</f>
        <v>0</v>
      </c>
      <c r="Q4" s="6">
        <v>801.39828096647886</v>
      </c>
      <c r="R4" s="7">
        <f>+Q4*C4</f>
        <v>83914.41399999999</v>
      </c>
      <c r="S4" s="10">
        <f>+X4</f>
        <v>0</v>
      </c>
      <c r="T4" s="7">
        <f>+S4*C4</f>
        <v>0</v>
      </c>
      <c r="U4" s="11">
        <f>+B4-E4-G4-Q4-S4-K4-I4-M4-O4</f>
        <v>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1757.0114178029044</v>
      </c>
      <c r="C5" s="4">
        <v>90.21</v>
      </c>
      <c r="D5" s="5">
        <f>B5*C5</f>
        <v>158500</v>
      </c>
      <c r="E5" s="6">
        <v>0</v>
      </c>
      <c r="F5" s="7">
        <f>+E5*C5</f>
        <v>0</v>
      </c>
      <c r="G5" s="6">
        <f>+(H8*40%)/$C$5</f>
        <v>322.5371023168164</v>
      </c>
      <c r="H5" s="7">
        <f>+G5*C5</f>
        <v>29096.072000000004</v>
      </c>
      <c r="I5" s="6">
        <f>+J8/C5</f>
        <v>49.88360492184902</v>
      </c>
      <c r="J5" s="7">
        <f>+I5*C5</f>
        <v>4500</v>
      </c>
      <c r="K5" s="6">
        <v>0</v>
      </c>
      <c r="L5" s="7">
        <f>+K5*C5</f>
        <v>0</v>
      </c>
      <c r="M5" s="6">
        <f>+(N8*40%)/$C$5</f>
        <v>534.14978383771211</v>
      </c>
      <c r="N5" s="7">
        <f>+M5*C5</f>
        <v>48185.652000000009</v>
      </c>
      <c r="O5" s="9">
        <f>+P8/C5</f>
        <v>0</v>
      </c>
      <c r="P5" s="7">
        <f>+O5*C5</f>
        <v>0</v>
      </c>
      <c r="Q5" s="6">
        <v>311.81660569781593</v>
      </c>
      <c r="R5" s="7">
        <f>+Q5*C5</f>
        <v>28128.975999999973</v>
      </c>
      <c r="S5" s="10">
        <f>+X3</f>
        <v>538.62432102871094</v>
      </c>
      <c r="T5" s="7">
        <f>+S5*C5</f>
        <v>48589.30000000001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105.96631205673759</v>
      </c>
      <c r="C6" s="4">
        <v>112.8</v>
      </c>
      <c r="D6" s="5">
        <f>B6*C6</f>
        <v>11953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105.96631205673759</v>
      </c>
      <c r="R6" s="7">
        <f>+Q6*C6</f>
        <v>11953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3797.0432441371704</v>
      </c>
      <c r="C7" s="3"/>
      <c r="D7" s="13">
        <f t="shared" ref="D7:T7" si="0">SUM(D4:D6)</f>
        <v>372969</v>
      </c>
      <c r="E7" s="14">
        <f t="shared" si="0"/>
        <v>0</v>
      </c>
      <c r="F7" s="15">
        <f t="shared" si="0"/>
        <v>0</v>
      </c>
      <c r="G7" s="14">
        <f t="shared" si="0"/>
        <v>739.34646149932041</v>
      </c>
      <c r="H7" s="15">
        <f t="shared" si="0"/>
        <v>72740.180000000008</v>
      </c>
      <c r="I7" s="14">
        <f t="shared" si="0"/>
        <v>49.88360492184902</v>
      </c>
      <c r="J7" s="15">
        <f t="shared" si="0"/>
        <v>4500</v>
      </c>
      <c r="K7" s="14">
        <f t="shared" si="0"/>
        <v>25.58494890650368</v>
      </c>
      <c r="L7" s="15">
        <f t="shared" si="0"/>
        <v>2679</v>
      </c>
      <c r="M7" s="14">
        <f t="shared" si="0"/>
        <v>1224.422709059754</v>
      </c>
      <c r="N7" s="15">
        <f t="shared" si="0"/>
        <v>120464.13</v>
      </c>
      <c r="O7" s="14">
        <f t="shared" si="0"/>
        <v>0</v>
      </c>
      <c r="P7" s="15">
        <f t="shared" si="0"/>
        <v>0</v>
      </c>
      <c r="Q7" s="14">
        <f t="shared" si="0"/>
        <v>1219.1811987210322</v>
      </c>
      <c r="R7" s="15">
        <f t="shared" si="0"/>
        <v>123996.38999999996</v>
      </c>
      <c r="S7" s="14">
        <f t="shared" si="0"/>
        <v>538.62432102871094</v>
      </c>
      <c r="T7" s="15">
        <f t="shared" si="0"/>
        <v>48589.30000000001</v>
      </c>
      <c r="U7" s="11">
        <f>+B7-E7-G7-Q7-S7-K7-I7-M7-O7</f>
        <v>2.2737367544323206E-13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f>5853.08+66887.1</f>
        <v>72740.180000000008</v>
      </c>
      <c r="I8" s="18"/>
      <c r="J8" s="19">
        <v>4500</v>
      </c>
      <c r="K8" s="18"/>
      <c r="L8" s="19">
        <v>2679</v>
      </c>
      <c r="M8" s="20"/>
      <c r="N8" s="19">
        <f>103525.64+16938.49</f>
        <v>120464.13</v>
      </c>
      <c r="O8" s="20" t="s">
        <v>19</v>
      </c>
      <c r="P8" s="19">
        <v>0</v>
      </c>
      <c r="Q8" s="18">
        <v>0</v>
      </c>
      <c r="R8" s="19">
        <v>121746.69</v>
      </c>
      <c r="S8" s="18"/>
      <c r="T8" s="19">
        <v>50839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2249.6999999999534</v>
      </c>
      <c r="S9" s="21"/>
      <c r="T9" s="22">
        <f>+T7-T8</f>
        <v>-2249.6999999999898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3"/>
      <c r="L12" s="63"/>
      <c r="M12" s="63"/>
      <c r="N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89818</v>
      </c>
      <c r="I13" s="36">
        <v>63870</v>
      </c>
      <c r="J13" s="60">
        <v>11953</v>
      </c>
      <c r="K13" s="63"/>
      <c r="L13" s="63"/>
      <c r="M13" s="63"/>
      <c r="N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112698</v>
      </c>
      <c r="I14" s="36">
        <v>33437</v>
      </c>
      <c r="J14" s="60"/>
      <c r="K14" s="64"/>
      <c r="L14" s="64"/>
      <c r="M14" s="64"/>
      <c r="N14" s="63"/>
    </row>
    <row r="15" spans="1:24">
      <c r="A15" s="33" t="s">
        <v>30</v>
      </c>
      <c r="B15" s="34" t="s">
        <v>13</v>
      </c>
      <c r="C15" s="29">
        <f t="shared" ref="C15:C25" si="1">+E15/D15</f>
        <v>230.72996341868975</v>
      </c>
      <c r="D15" s="30">
        <f t="shared" ref="D15:D25" si="2">+VLOOKUP(B15,A$4:C$6,3,0)</f>
        <v>90.21</v>
      </c>
      <c r="E15" s="42">
        <v>20814.150000000001</v>
      </c>
      <c r="F15" s="34">
        <v>22444</v>
      </c>
      <c r="H15" s="36"/>
      <c r="I15" s="36">
        <v>61193</v>
      </c>
      <c r="J15" s="61"/>
      <c r="K15" s="65"/>
      <c r="L15" s="63"/>
      <c r="M15" s="63"/>
      <c r="N15" s="63"/>
    </row>
    <row r="16" spans="1:24">
      <c r="A16" s="33" t="s">
        <v>30</v>
      </c>
      <c r="B16" s="34" t="s">
        <v>13</v>
      </c>
      <c r="C16" s="29">
        <f t="shared" si="1"/>
        <v>11.639507815098105</v>
      </c>
      <c r="D16" s="30">
        <f t="shared" si="2"/>
        <v>90.21</v>
      </c>
      <c r="E16" s="42">
        <v>1050</v>
      </c>
      <c r="F16" s="34">
        <v>22445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</row>
    <row r="17" spans="1:14">
      <c r="A17" s="33" t="s">
        <v>41</v>
      </c>
      <c r="B17" s="34" t="s">
        <v>13</v>
      </c>
      <c r="C17" s="29">
        <f t="shared" si="1"/>
        <v>296.25484979492302</v>
      </c>
      <c r="D17" s="30">
        <f t="shared" si="2"/>
        <v>90.21</v>
      </c>
      <c r="E17" s="44">
        <v>26725.15</v>
      </c>
      <c r="F17" s="34">
        <v>22446</v>
      </c>
      <c r="H17" s="28"/>
      <c r="K17" s="65"/>
      <c r="L17" s="63"/>
      <c r="M17" s="63"/>
      <c r="N17" s="63"/>
    </row>
    <row r="18" spans="1:14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3"/>
      <c r="L18" s="63"/>
      <c r="M18" s="63"/>
      <c r="N18" s="63"/>
    </row>
    <row r="19" spans="1:14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</row>
    <row r="20" spans="1:14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</row>
    <row r="21" spans="1:14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</row>
    <row r="22" spans="1:14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</row>
    <row r="23" spans="1:14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</row>
    <row r="24" spans="1:14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</row>
    <row r="25" spans="1:14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</row>
    <row r="26" spans="1:14">
      <c r="A26" s="30"/>
      <c r="B26" s="30"/>
      <c r="C26" s="29">
        <f>SUM(C15:C25)</f>
        <v>538.62432102871094</v>
      </c>
      <c r="D26" s="29"/>
      <c r="E26" s="29">
        <f>SUM(E15:E25)</f>
        <v>48589.3</v>
      </c>
      <c r="F26" s="30"/>
      <c r="K26" s="63"/>
      <c r="L26" s="63"/>
      <c r="M26" s="63"/>
      <c r="N26" s="63"/>
    </row>
    <row r="27" spans="1:14">
      <c r="K27" s="63"/>
      <c r="L27" s="63"/>
      <c r="M27" s="63"/>
      <c r="N27" s="63"/>
    </row>
    <row r="28" spans="1:14">
      <c r="K28" s="63"/>
      <c r="L28" s="63"/>
      <c r="M28" s="63"/>
      <c r="N28" s="63"/>
    </row>
    <row r="29" spans="1:14">
      <c r="K29" s="63"/>
      <c r="L29" s="63"/>
      <c r="M29" s="63"/>
      <c r="N29" s="63"/>
    </row>
    <row r="30" spans="1:14">
      <c r="K30" s="63"/>
      <c r="L30" s="63"/>
      <c r="M30" s="63"/>
      <c r="N30" s="63"/>
    </row>
    <row r="31" spans="1:14">
      <c r="K31" s="63"/>
      <c r="L31" s="63"/>
      <c r="M31" s="63"/>
      <c r="N31" s="63"/>
    </row>
    <row r="32" spans="1:14">
      <c r="K32" s="63"/>
      <c r="L32" s="63"/>
      <c r="M32" s="63"/>
      <c r="N32" s="63"/>
    </row>
    <row r="33" spans="8:14">
      <c r="K33" s="63"/>
      <c r="L33" s="63"/>
      <c r="M33" s="63"/>
      <c r="N33" s="63"/>
    </row>
    <row r="35" spans="8:14">
      <c r="H35" t="s">
        <v>32</v>
      </c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1"/>
  <sheetViews>
    <sheetView workbookViewId="0">
      <selection activeCell="G2" sqref="G2:H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75.644274470679534</v>
      </c>
    </row>
    <row r="4" spans="1:24" s="2" customFormat="1">
      <c r="A4" s="3" t="s">
        <v>14</v>
      </c>
      <c r="B4" s="12">
        <f>+(H13+H14+H15)/$C$4</f>
        <v>1412.0332346480757</v>
      </c>
      <c r="C4" s="4">
        <v>104.71</v>
      </c>
      <c r="D4" s="5">
        <f>B4*C4</f>
        <v>147854</v>
      </c>
      <c r="E4" s="6">
        <v>0</v>
      </c>
      <c r="F4" s="7">
        <f>+E4*C4</f>
        <v>0</v>
      </c>
      <c r="G4" s="9">
        <f>+(H8*60%)/$C$4</f>
        <v>224.21233884060743</v>
      </c>
      <c r="H4" s="7">
        <f>+G4*C4</f>
        <v>23477.274000000001</v>
      </c>
      <c r="I4" s="6">
        <f>J4/C4</f>
        <v>0</v>
      </c>
      <c r="J4" s="7">
        <v>0</v>
      </c>
      <c r="K4" s="8">
        <f>+L8/$C$4</f>
        <v>73.132174577404271</v>
      </c>
      <c r="L4" s="7">
        <f>+K4*C4</f>
        <v>7657.670000000001</v>
      </c>
      <c r="M4" s="9">
        <f>+(N8*60%)/$C$4</f>
        <v>296.79726864673864</v>
      </c>
      <c r="N4" s="7">
        <f>+M4*C4</f>
        <v>31077.642</v>
      </c>
      <c r="O4" s="9"/>
      <c r="P4" s="7">
        <f>+O4*C4</f>
        <v>0</v>
      </c>
      <c r="Q4" s="6">
        <v>817.8914525833253</v>
      </c>
      <c r="R4" s="7">
        <f>+Q4*C4</f>
        <v>85641.41399999999</v>
      </c>
      <c r="S4" s="10">
        <f>+X4</f>
        <v>0</v>
      </c>
      <c r="T4" s="7">
        <f>+S4*C4</f>
        <v>0</v>
      </c>
      <c r="U4" s="11">
        <f>+B4-E4-G4-Q4-S4-K4-I4-M4-O4</f>
        <v>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722.23700254960647</v>
      </c>
      <c r="C5" s="4">
        <v>90.21</v>
      </c>
      <c r="D5" s="5">
        <f>B5*C5</f>
        <v>65152.999999999993</v>
      </c>
      <c r="E5" s="6">
        <v>0</v>
      </c>
      <c r="F5" s="7">
        <f>+E5*C5</f>
        <v>0</v>
      </c>
      <c r="G5" s="6">
        <f>+(H8*40%)/$C$5</f>
        <v>173.50089790488863</v>
      </c>
      <c r="H5" s="7">
        <f>+G5*C5</f>
        <v>15651.516000000003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229.66886154528325</v>
      </c>
      <c r="N5" s="7">
        <f>+M5*C5</f>
        <v>20718.428</v>
      </c>
      <c r="O5" s="9">
        <f>+P8/C5</f>
        <v>0</v>
      </c>
      <c r="P5" s="7">
        <f>+O5*C5</f>
        <v>0</v>
      </c>
      <c r="Q5" s="6">
        <v>243.42296862875511</v>
      </c>
      <c r="R5" s="7">
        <f>+Q5*C5</f>
        <v>21959.185999999998</v>
      </c>
      <c r="S5" s="10">
        <f>+X3</f>
        <v>75.644274470679534</v>
      </c>
      <c r="T5" s="7">
        <f>+S5*C5</f>
        <v>6823.87</v>
      </c>
      <c r="U5" s="11">
        <f>+B5-E5-G5-Q5-S5-K5-I5-M5-O5</f>
        <v>-2.8421709430404007E-14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8.8386524822695041</v>
      </c>
      <c r="C6" s="4">
        <v>112.8</v>
      </c>
      <c r="D6" s="5">
        <f>B6*C6</f>
        <v>997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8.8386524822695041</v>
      </c>
      <c r="R6" s="7">
        <f>+Q6*C6</f>
        <v>997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2143.1088896799515</v>
      </c>
      <c r="C7" s="3"/>
      <c r="D7" s="13">
        <f t="shared" ref="D7:T7" si="0">SUM(D4:D6)</f>
        <v>214004</v>
      </c>
      <c r="E7" s="14">
        <f t="shared" si="0"/>
        <v>0</v>
      </c>
      <c r="F7" s="15">
        <f t="shared" si="0"/>
        <v>0</v>
      </c>
      <c r="G7" s="14">
        <f t="shared" si="0"/>
        <v>397.71323674549603</v>
      </c>
      <c r="H7" s="15">
        <f t="shared" si="0"/>
        <v>39128.790000000008</v>
      </c>
      <c r="I7" s="14">
        <f t="shared" si="0"/>
        <v>0</v>
      </c>
      <c r="J7" s="15">
        <f t="shared" si="0"/>
        <v>0</v>
      </c>
      <c r="K7" s="14">
        <f t="shared" si="0"/>
        <v>73.132174577404271</v>
      </c>
      <c r="L7" s="15">
        <f t="shared" si="0"/>
        <v>7657.670000000001</v>
      </c>
      <c r="M7" s="14">
        <f t="shared" si="0"/>
        <v>526.46613019202186</v>
      </c>
      <c r="N7" s="15">
        <f t="shared" si="0"/>
        <v>51796.07</v>
      </c>
      <c r="O7" s="14">
        <f t="shared" si="0"/>
        <v>0</v>
      </c>
      <c r="P7" s="15">
        <f t="shared" si="0"/>
        <v>0</v>
      </c>
      <c r="Q7" s="14">
        <f t="shared" si="0"/>
        <v>1070.1530736943498</v>
      </c>
      <c r="R7" s="15">
        <f t="shared" si="0"/>
        <v>108597.59999999999</v>
      </c>
      <c r="S7" s="14">
        <f t="shared" si="0"/>
        <v>75.644274470679534</v>
      </c>
      <c r="T7" s="15">
        <f t="shared" si="0"/>
        <v>6823.87</v>
      </c>
      <c r="U7" s="11">
        <f>+B7-E7-G7-Q7-S7-K7-I7-M7-O7</f>
        <v>0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39128.79</v>
      </c>
      <c r="I8" s="18"/>
      <c r="J8" s="19">
        <v>0</v>
      </c>
      <c r="K8" s="18"/>
      <c r="L8" s="19">
        <v>7657.67</v>
      </c>
      <c r="M8" s="20"/>
      <c r="N8" s="19">
        <v>51796.07</v>
      </c>
      <c r="O8" s="20" t="s">
        <v>19</v>
      </c>
      <c r="P8" s="19">
        <v>0</v>
      </c>
      <c r="Q8" s="18">
        <v>0</v>
      </c>
      <c r="R8" s="19">
        <v>108294</v>
      </c>
      <c r="S8" s="18"/>
      <c r="T8" s="19">
        <v>7129.27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303.59999999999127</v>
      </c>
      <c r="S9" s="21"/>
      <c r="T9" s="22">
        <f>+T7-T8</f>
        <v>-305.40000000000055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-1.8000000000247383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70978</v>
      </c>
      <c r="I13" s="36">
        <v>25514</v>
      </c>
      <c r="J13" s="60">
        <v>997</v>
      </c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76876</v>
      </c>
      <c r="I14" s="36">
        <v>19647</v>
      </c>
      <c r="J14" s="60"/>
      <c r="K14" s="74"/>
      <c r="L14" s="74"/>
      <c r="M14" s="74"/>
      <c r="N14" s="69"/>
      <c r="O14" s="69"/>
      <c r="P14" s="69"/>
      <c r="Q14" s="69"/>
      <c r="R14" s="69"/>
      <c r="S14" s="69"/>
      <c r="T14" s="69"/>
      <c r="U14" s="69"/>
      <c r="V14" s="69"/>
    </row>
    <row r="15" spans="1:24">
      <c r="A15" s="33" t="s">
        <v>36</v>
      </c>
      <c r="B15" s="34" t="s">
        <v>13</v>
      </c>
      <c r="C15" s="29">
        <f t="shared" ref="C15:C25" si="1">+E15/D15</f>
        <v>36.589956767542404</v>
      </c>
      <c r="D15" s="30">
        <f t="shared" ref="D15:D25" si="2">+VLOOKUP(B15,A$4:C$6,3,0)</f>
        <v>90.21</v>
      </c>
      <c r="E15" s="42">
        <v>3300.78</v>
      </c>
      <c r="F15" s="34">
        <v>22449</v>
      </c>
      <c r="H15" s="36"/>
      <c r="I15" s="36">
        <v>19992</v>
      </c>
      <c r="J15" s="61"/>
      <c r="K15" s="70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</row>
    <row r="16" spans="1:24">
      <c r="A16" s="33" t="s">
        <v>37</v>
      </c>
      <c r="B16" s="34" t="s">
        <v>13</v>
      </c>
      <c r="C16" s="29">
        <f t="shared" si="1"/>
        <v>33.250637401618448</v>
      </c>
      <c r="D16" s="30">
        <f t="shared" si="2"/>
        <v>90.21</v>
      </c>
      <c r="E16" s="42">
        <v>2999.54</v>
      </c>
      <c r="F16" s="34">
        <v>22450</v>
      </c>
      <c r="H16" s="30">
        <f>+H24/C4</f>
        <v>0</v>
      </c>
      <c r="I16" s="43">
        <f>+I24/C5</f>
        <v>0</v>
      </c>
      <c r="J16" s="62">
        <f>+J24/C6</f>
        <v>0</v>
      </c>
      <c r="K16" s="70"/>
      <c r="L16" s="69"/>
      <c r="M16" s="70"/>
      <c r="N16" s="69"/>
      <c r="O16" s="69"/>
      <c r="P16" s="69"/>
      <c r="Q16" s="69"/>
      <c r="R16" s="69"/>
      <c r="S16" s="69"/>
      <c r="T16" s="69"/>
      <c r="U16" s="69"/>
      <c r="V16" s="69"/>
    </row>
    <row r="17" spans="1:22">
      <c r="A17" s="33" t="s">
        <v>30</v>
      </c>
      <c r="B17" s="34" t="s">
        <v>13</v>
      </c>
      <c r="C17" s="29">
        <f t="shared" si="1"/>
        <v>5.8036803015186784</v>
      </c>
      <c r="D17" s="30">
        <f t="shared" si="2"/>
        <v>90.21</v>
      </c>
      <c r="E17" s="44">
        <v>523.54999999999995</v>
      </c>
      <c r="F17" s="34">
        <v>22451</v>
      </c>
      <c r="H17" s="28"/>
      <c r="K17" s="70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</row>
    <row r="18" spans="1:22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</row>
    <row r="19" spans="1:22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70"/>
      <c r="L19" s="69"/>
      <c r="M19" s="70"/>
      <c r="N19" s="69"/>
      <c r="O19" s="69"/>
      <c r="P19" s="69"/>
      <c r="Q19" s="69"/>
      <c r="R19" s="69"/>
      <c r="S19" s="69"/>
      <c r="T19" s="69"/>
      <c r="U19" s="69"/>
      <c r="V19" s="69"/>
    </row>
    <row r="20" spans="1:22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70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</row>
    <row r="21" spans="1:22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70"/>
      <c r="L21" s="69"/>
      <c r="M21" s="70"/>
      <c r="N21" s="69"/>
      <c r="O21" s="69"/>
      <c r="P21" s="69"/>
      <c r="Q21" s="69"/>
      <c r="R21" s="69"/>
      <c r="S21" s="69"/>
      <c r="T21" s="69"/>
      <c r="U21" s="69"/>
      <c r="V21" s="69"/>
    </row>
    <row r="22" spans="1:22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</row>
    <row r="23" spans="1:22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</row>
    <row r="24" spans="1:22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</row>
    <row r="25" spans="1:22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</row>
    <row r="26" spans="1:22">
      <c r="A26" s="30"/>
      <c r="B26" s="30"/>
      <c r="C26" s="29">
        <f>SUM(C15:C25)</f>
        <v>75.644274470679534</v>
      </c>
      <c r="D26" s="29"/>
      <c r="E26" s="29">
        <f>SUM(E15:E25)</f>
        <v>6823.87</v>
      </c>
      <c r="F26" s="30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</row>
    <row r="27" spans="1:22"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</row>
    <row r="28" spans="1:22"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</row>
    <row r="29" spans="1:22"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</row>
    <row r="30" spans="1:22"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</row>
    <row r="31" spans="1:22"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</row>
    <row r="32" spans="1:22">
      <c r="C32">
        <f>+C15+C16</f>
        <v>69.840594169160852</v>
      </c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1:22"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</row>
    <row r="34" spans="11:22"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</row>
    <row r="35" spans="11:22"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</row>
    <row r="36" spans="11:22"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</row>
    <row r="37" spans="11:22"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</row>
    <row r="38" spans="11:22"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</row>
    <row r="39" spans="11:22"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</row>
    <row r="40" spans="11:22"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</row>
    <row r="41" spans="11:22"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</row>
    <row r="42" spans="11:22"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</row>
    <row r="43" spans="11:22"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</row>
    <row r="44" spans="11:22"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</row>
    <row r="45" spans="11:22"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</row>
    <row r="46" spans="11:22"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</row>
    <row r="47" spans="11:22"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</row>
    <row r="48" spans="11:22"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</row>
    <row r="49" spans="5:22"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</row>
    <row r="50" spans="5:22">
      <c r="E50">
        <v>9</v>
      </c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</row>
    <row r="51" spans="5:22"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56"/>
  <sheetViews>
    <sheetView workbookViewId="0"/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112.49994457377232</v>
      </c>
    </row>
    <row r="4" spans="1:24" s="2" customFormat="1">
      <c r="A4" s="3" t="s">
        <v>14</v>
      </c>
      <c r="B4" s="12">
        <f>+(H13+H14+H15)/$C$4</f>
        <v>1366.8704039728775</v>
      </c>
      <c r="C4" s="4">
        <v>104.71</v>
      </c>
      <c r="D4" s="5">
        <f>B4*C4</f>
        <v>143125</v>
      </c>
      <c r="E4" s="6">
        <v>0</v>
      </c>
      <c r="F4" s="7">
        <f>+E4*C4</f>
        <v>0</v>
      </c>
      <c r="G4" s="9">
        <f>+(H8*60%)/$C$4</f>
        <v>233.27485435966003</v>
      </c>
      <c r="H4" s="7">
        <f>+G4*C4</f>
        <v>24426.21</v>
      </c>
      <c r="I4" s="6">
        <f>J4/C4</f>
        <v>0</v>
      </c>
      <c r="J4" s="7">
        <v>0</v>
      </c>
      <c r="K4" s="8">
        <f>+L8/$C$4</f>
        <v>60.906503676821707</v>
      </c>
      <c r="L4" s="7">
        <f>+K4*C4</f>
        <v>6377.52</v>
      </c>
      <c r="M4" s="9">
        <f>+(N8*60%)/$C$4</f>
        <v>318.37171234839082</v>
      </c>
      <c r="N4" s="7">
        <f>+M4*C4</f>
        <v>33336.701999999997</v>
      </c>
      <c r="O4" s="9"/>
      <c r="P4" s="7">
        <f>+O4*C4</f>
        <v>0</v>
      </c>
      <c r="Q4" s="6">
        <v>754.31733358800477</v>
      </c>
      <c r="R4" s="7">
        <f>+Q4*C4</f>
        <v>78984.56799999997</v>
      </c>
      <c r="S4" s="10">
        <f>+X4</f>
        <v>0</v>
      </c>
      <c r="T4" s="7">
        <f>+S4*C4</f>
        <v>0</v>
      </c>
      <c r="U4" s="11">
        <f>+B4-E4-G4-Q4-S4-K4-I4-M4-O4</f>
        <v>5.6843418860808015E-14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942.75579204079372</v>
      </c>
      <c r="C5" s="4">
        <v>90.21</v>
      </c>
      <c r="D5" s="5">
        <f>B5*C5</f>
        <v>85046</v>
      </c>
      <c r="E5" s="6">
        <v>0</v>
      </c>
      <c r="F5" s="7">
        <f>+E5*C5</f>
        <v>0</v>
      </c>
      <c r="G5" s="6">
        <f>+(H8*40%)/$C$5</f>
        <v>180.51369027823966</v>
      </c>
      <c r="H5" s="7">
        <f>+G5*C5</f>
        <v>16284.14</v>
      </c>
      <c r="I5" s="6">
        <f>+J8/C5</f>
        <v>31.703802239219602</v>
      </c>
      <c r="J5" s="7">
        <f>+I5*C5</f>
        <v>2860</v>
      </c>
      <c r="K5" s="6">
        <v>0</v>
      </c>
      <c r="L5" s="7">
        <f>+K5*C5</f>
        <v>0</v>
      </c>
      <c r="M5" s="6">
        <f>+(N8*40%)/$C$5</f>
        <v>246.36368473561691</v>
      </c>
      <c r="N5" s="7">
        <f>+M5*C5</f>
        <v>22224.468000000001</v>
      </c>
      <c r="O5" s="9">
        <f>+P8/C5</f>
        <v>0</v>
      </c>
      <c r="P5" s="7">
        <f>+O5*C5</f>
        <v>0</v>
      </c>
      <c r="Q5" s="6">
        <v>371.67467021394515</v>
      </c>
      <c r="R5" s="7">
        <f>+Q5*C5</f>
        <v>33528.77199999999</v>
      </c>
      <c r="S5" s="10">
        <f>+X3</f>
        <v>112.49994457377232</v>
      </c>
      <c r="T5" s="7">
        <f>+S5*C5</f>
        <v>10148.620000000001</v>
      </c>
      <c r="U5" s="11">
        <f>+B5-E5-G5-Q5-S5-K5-I5-M5-O5</f>
        <v>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33.333333333333336</v>
      </c>
      <c r="C6" s="4">
        <v>112.8</v>
      </c>
      <c r="D6" s="5">
        <f>B6*C6</f>
        <v>3760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33.333333333333336</v>
      </c>
      <c r="R6" s="7">
        <f>+Q6*C6</f>
        <v>3760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2342.9595293470047</v>
      </c>
      <c r="C7" s="3"/>
      <c r="D7" s="13">
        <f t="shared" ref="D7:T7" si="0">SUM(D4:D6)</f>
        <v>231931</v>
      </c>
      <c r="E7" s="14">
        <f t="shared" si="0"/>
        <v>0</v>
      </c>
      <c r="F7" s="15">
        <f t="shared" si="0"/>
        <v>0</v>
      </c>
      <c r="G7" s="14">
        <f t="shared" si="0"/>
        <v>413.78854463789969</v>
      </c>
      <c r="H7" s="15">
        <f t="shared" si="0"/>
        <v>40710.35</v>
      </c>
      <c r="I7" s="14">
        <f t="shared" si="0"/>
        <v>31.703802239219602</v>
      </c>
      <c r="J7" s="15">
        <f t="shared" si="0"/>
        <v>2860</v>
      </c>
      <c r="K7" s="14">
        <f t="shared" si="0"/>
        <v>60.906503676821707</v>
      </c>
      <c r="L7" s="15">
        <f t="shared" si="0"/>
        <v>6377.52</v>
      </c>
      <c r="M7" s="14">
        <f t="shared" si="0"/>
        <v>564.73539708400767</v>
      </c>
      <c r="N7" s="15">
        <f t="shared" si="0"/>
        <v>55561.17</v>
      </c>
      <c r="O7" s="14">
        <f t="shared" si="0"/>
        <v>0</v>
      </c>
      <c r="P7" s="15">
        <f t="shared" si="0"/>
        <v>0</v>
      </c>
      <c r="Q7" s="14">
        <f t="shared" si="0"/>
        <v>1159.3253371352832</v>
      </c>
      <c r="R7" s="15">
        <f t="shared" si="0"/>
        <v>116273.33999999997</v>
      </c>
      <c r="S7" s="14">
        <f t="shared" si="0"/>
        <v>112.49994457377232</v>
      </c>
      <c r="T7" s="15">
        <f t="shared" si="0"/>
        <v>10148.620000000001</v>
      </c>
      <c r="U7" s="11">
        <f>+B7-E7-G7-Q7-S7-K7-I7-M7-O7</f>
        <v>5.6843418860808015E-13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40710.35</v>
      </c>
      <c r="I8" s="18"/>
      <c r="J8" s="19">
        <v>2860</v>
      </c>
      <c r="K8" s="18"/>
      <c r="L8" s="19">
        <v>6377.52</v>
      </c>
      <c r="M8" s="20"/>
      <c r="N8" s="19">
        <v>55561.17</v>
      </c>
      <c r="O8" s="20" t="s">
        <v>19</v>
      </c>
      <c r="P8" s="19">
        <v>0</v>
      </c>
      <c r="Q8" s="18">
        <v>0</v>
      </c>
      <c r="R8" s="19">
        <v>112205</v>
      </c>
      <c r="S8" s="18"/>
      <c r="T8" s="19">
        <v>14216.62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4068.3399999999674</v>
      </c>
      <c r="S9" s="21"/>
      <c r="T9" s="22">
        <f>+T7-T8</f>
        <v>-4068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0.3400000000037835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53710</v>
      </c>
      <c r="I13" s="36">
        <v>52909</v>
      </c>
      <c r="J13" s="60">
        <v>3760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89415</v>
      </c>
      <c r="I14" s="36">
        <v>3732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4">
      <c r="A15" s="33" t="s">
        <v>30</v>
      </c>
      <c r="B15" s="34" t="s">
        <v>13</v>
      </c>
      <c r="C15" s="29">
        <f t="shared" ref="C15:C25" si="1">+E15/D15</f>
        <v>112.49994457377232</v>
      </c>
      <c r="D15" s="30">
        <f t="shared" ref="D15:D25" si="2">+VLOOKUP(B15,A$4:C$6,3,0)</f>
        <v>90.21</v>
      </c>
      <c r="E15" s="42">
        <v>10148.620000000001</v>
      </c>
      <c r="F15" s="34">
        <v>22452</v>
      </c>
      <c r="H15" s="36"/>
      <c r="I15" s="36">
        <v>28405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1:24">
      <c r="A16" s="33"/>
      <c r="B16" s="34" t="s">
        <v>13</v>
      </c>
      <c r="C16" s="29">
        <f t="shared" si="1"/>
        <v>0</v>
      </c>
      <c r="D16" s="30">
        <f t="shared" si="2"/>
        <v>90.21</v>
      </c>
      <c r="E16" s="42"/>
      <c r="F16" s="34"/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1:23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1:23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 spans="1:23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 spans="1:23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 spans="1:23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 spans="1:23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 spans="1:23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 spans="1:23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 spans="1:23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 spans="1:23">
      <c r="A26" s="30"/>
      <c r="B26" s="30"/>
      <c r="C26" s="29">
        <f>SUM(C15:C25)</f>
        <v>112.49994457377232</v>
      </c>
      <c r="D26" s="29"/>
      <c r="E26" s="29">
        <f>SUM(E15:E25)</f>
        <v>10148.620000000001</v>
      </c>
      <c r="F26" s="30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 spans="1:23"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 spans="1:23"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 spans="1:23"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 spans="1:23"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 spans="1:23">
      <c r="C32">
        <f>+C15+C16</f>
        <v>112.49994457377232</v>
      </c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11:23"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 spans="11:23"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spans="11:23"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spans="11:23"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 spans="11:23"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 spans="11:23"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 spans="11:23"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 spans="11:23"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 spans="11:23"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 spans="11:23"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 spans="11:23"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 spans="11:23"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 spans="11:23"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 spans="11:23"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 spans="11:23"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 spans="11:23"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 spans="5:23"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 spans="5:23">
      <c r="E50">
        <v>9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 spans="5:23"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 spans="5:23"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 spans="5:23"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 spans="5:23"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 spans="5:23"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 spans="5:23"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0"/>
  <sheetViews>
    <sheetView topLeftCell="K1" workbookViewId="0">
      <selection activeCell="Z1" sqref="Z1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0</v>
      </c>
    </row>
    <row r="4" spans="1:24" s="2" customFormat="1">
      <c r="A4" s="3" t="s">
        <v>14</v>
      </c>
      <c r="B4" s="12">
        <f>+(H13+H14+H15)/$C$4</f>
        <v>1530.2072390411613</v>
      </c>
      <c r="C4" s="4">
        <v>104.71</v>
      </c>
      <c r="D4" s="5">
        <f>B4*C4</f>
        <v>160228</v>
      </c>
      <c r="E4" s="6">
        <v>0</v>
      </c>
      <c r="F4" s="7">
        <f>+E4*C4</f>
        <v>0</v>
      </c>
      <c r="G4" s="9">
        <f>+(H8*60%)/$C$4</f>
        <v>318.7422213733168</v>
      </c>
      <c r="H4" s="7">
        <f>+G4*C4</f>
        <v>33375.498</v>
      </c>
      <c r="I4" s="6">
        <f>J4/C4</f>
        <v>0</v>
      </c>
      <c r="J4" s="7">
        <v>0</v>
      </c>
      <c r="K4" s="8">
        <f>+L8/$C$4</f>
        <v>51.193009263680644</v>
      </c>
      <c r="L4" s="7">
        <f>+K4*C4</f>
        <v>5360.42</v>
      </c>
      <c r="M4" s="9">
        <f>+(N8*60%)/$C$4</f>
        <v>380.58599942698891</v>
      </c>
      <c r="N4" s="7">
        <f>+M4*C4</f>
        <v>39851.160000000003</v>
      </c>
      <c r="O4" s="9"/>
      <c r="P4" s="7">
        <f>+O4*C4</f>
        <v>0</v>
      </c>
      <c r="Q4" s="6">
        <v>779.68600897717499</v>
      </c>
      <c r="R4" s="7">
        <f>+Q4*C4</f>
        <v>81640.921999999991</v>
      </c>
      <c r="S4" s="10">
        <f>+X4</f>
        <v>0</v>
      </c>
      <c r="T4" s="7">
        <f>+S4*C4</f>
        <v>0</v>
      </c>
      <c r="U4" s="11">
        <f>+B4-E4-G4-Q4-S4-K4-I4-M4-O4</f>
        <v>-1.1368683772161603E-13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915.09810442301307</v>
      </c>
      <c r="C5" s="4">
        <v>90.21</v>
      </c>
      <c r="D5" s="5">
        <f>B5*C5</f>
        <v>82551</v>
      </c>
      <c r="E5" s="6">
        <v>0</v>
      </c>
      <c r="F5" s="7">
        <f>+E5*C5</f>
        <v>0</v>
      </c>
      <c r="G5" s="6">
        <f>+(H8*40%)/$C$5</f>
        <v>246.65039352621665</v>
      </c>
      <c r="H5" s="7">
        <f>+G5*C5</f>
        <v>22250.332000000002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294.50659572109527</v>
      </c>
      <c r="N5" s="7">
        <f>+M5*C5</f>
        <v>26567.440000000002</v>
      </c>
      <c r="O5" s="9">
        <f>+P8/C5</f>
        <v>0</v>
      </c>
      <c r="P5" s="7">
        <f>+O5*C5</f>
        <v>0</v>
      </c>
      <c r="Q5" s="6">
        <v>373.94111517570121</v>
      </c>
      <c r="R5" s="7">
        <f>+Q5*C5</f>
        <v>33733.228000000003</v>
      </c>
      <c r="S5" s="10">
        <f>+X3</f>
        <v>0</v>
      </c>
      <c r="T5" s="7">
        <f>+S5*C5</f>
        <v>0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5.7978723404255321</v>
      </c>
      <c r="C6" s="4">
        <v>112.8</v>
      </c>
      <c r="D6" s="5">
        <f>B6*C6</f>
        <v>654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5.7978723404255321</v>
      </c>
      <c r="R6" s="7">
        <f>+Q6*C6</f>
        <v>654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2451.1032158045996</v>
      </c>
      <c r="C7" s="3"/>
      <c r="D7" s="13">
        <f t="shared" ref="D7:T7" si="0">SUM(D4:D6)</f>
        <v>243433</v>
      </c>
      <c r="E7" s="14">
        <f t="shared" si="0"/>
        <v>0</v>
      </c>
      <c r="F7" s="15">
        <f t="shared" si="0"/>
        <v>0</v>
      </c>
      <c r="G7" s="14">
        <f t="shared" si="0"/>
        <v>565.39261489953344</v>
      </c>
      <c r="H7" s="15">
        <f t="shared" si="0"/>
        <v>55625.83</v>
      </c>
      <c r="I7" s="14">
        <f t="shared" si="0"/>
        <v>0</v>
      </c>
      <c r="J7" s="15">
        <f t="shared" si="0"/>
        <v>0</v>
      </c>
      <c r="K7" s="14">
        <f t="shared" si="0"/>
        <v>51.193009263680644</v>
      </c>
      <c r="L7" s="15">
        <f t="shared" si="0"/>
        <v>5360.42</v>
      </c>
      <c r="M7" s="14">
        <f t="shared" si="0"/>
        <v>675.09259514808423</v>
      </c>
      <c r="N7" s="15">
        <f t="shared" si="0"/>
        <v>66418.600000000006</v>
      </c>
      <c r="O7" s="14">
        <f t="shared" si="0"/>
        <v>0</v>
      </c>
      <c r="P7" s="15">
        <f t="shared" si="0"/>
        <v>0</v>
      </c>
      <c r="Q7" s="14">
        <f t="shared" si="0"/>
        <v>1159.4249964933017</v>
      </c>
      <c r="R7" s="15">
        <f t="shared" si="0"/>
        <v>116028.15</v>
      </c>
      <c r="S7" s="14">
        <f t="shared" si="0"/>
        <v>0</v>
      </c>
      <c r="T7" s="15">
        <f t="shared" si="0"/>
        <v>0</v>
      </c>
      <c r="U7" s="11">
        <f>+B7-E7-G7-Q7-S7-K7-I7-M7-O7</f>
        <v>-3.4106051316484809E-13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55625.83</v>
      </c>
      <c r="I8" s="18"/>
      <c r="J8" s="19">
        <v>0</v>
      </c>
      <c r="K8" s="18"/>
      <c r="L8" s="19">
        <v>5360.42</v>
      </c>
      <c r="M8" s="20"/>
      <c r="N8" s="19">
        <v>66418.600000000006</v>
      </c>
      <c r="O8" s="20" t="s">
        <v>19</v>
      </c>
      <c r="P8" s="19">
        <v>0</v>
      </c>
      <c r="Q8" s="18">
        <v>0</v>
      </c>
      <c r="R8" s="19">
        <v>111028.14999999997</v>
      </c>
      <c r="S8" s="18"/>
      <c r="T8" s="19">
        <v>5000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5000.0000000000291</v>
      </c>
      <c r="S9" s="21"/>
      <c r="T9" s="22">
        <f>+T7-T8</f>
        <v>-5000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3"/>
      <c r="L12" s="63"/>
      <c r="M12" s="63"/>
      <c r="N12" s="63"/>
      <c r="O12" s="63"/>
      <c r="P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71917</v>
      </c>
      <c r="I13" s="36">
        <v>49407</v>
      </c>
      <c r="J13" s="60">
        <v>654</v>
      </c>
      <c r="K13" s="63"/>
      <c r="L13" s="63"/>
      <c r="M13" s="63"/>
      <c r="N13" s="63"/>
      <c r="O13" s="63"/>
      <c r="P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88311</v>
      </c>
      <c r="I14" s="36">
        <v>6821</v>
      </c>
      <c r="J14" s="60"/>
      <c r="K14" s="64"/>
      <c r="L14" s="64"/>
      <c r="M14" s="64"/>
      <c r="N14" s="63"/>
      <c r="O14" s="63"/>
      <c r="P14" s="63"/>
    </row>
    <row r="15" spans="1:24">
      <c r="A15" s="33"/>
      <c r="B15" s="34" t="s">
        <v>13</v>
      </c>
      <c r="C15" s="29">
        <f t="shared" ref="C15:C25" si="1">+E15/D15</f>
        <v>0</v>
      </c>
      <c r="D15" s="30">
        <f t="shared" ref="D15:D25" si="2">+VLOOKUP(B15,A$4:C$6,3,0)</f>
        <v>90.21</v>
      </c>
      <c r="E15" s="42"/>
      <c r="F15" s="34"/>
      <c r="H15" s="36"/>
      <c r="I15" s="36">
        <v>26323</v>
      </c>
      <c r="J15" s="61"/>
      <c r="K15" s="65"/>
      <c r="L15" s="63"/>
      <c r="M15" s="63"/>
      <c r="N15" s="63"/>
      <c r="O15" s="63"/>
      <c r="P15" s="63"/>
      <c r="V15">
        <f>2123+9236+3417.23+18069.1</f>
        <v>32845.33</v>
      </c>
    </row>
    <row r="16" spans="1:24">
      <c r="A16" s="33"/>
      <c r="B16" s="34" t="s">
        <v>13</v>
      </c>
      <c r="C16" s="29">
        <f t="shared" si="1"/>
        <v>0</v>
      </c>
      <c r="D16" s="30">
        <f t="shared" si="2"/>
        <v>90.21</v>
      </c>
      <c r="E16" s="42"/>
      <c r="F16" s="34"/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</row>
    <row r="17" spans="1:16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72"/>
      <c r="I17" s="68"/>
      <c r="J17" s="68"/>
      <c r="K17" s="70"/>
      <c r="L17" s="69"/>
      <c r="M17" s="69"/>
      <c r="N17" s="63"/>
      <c r="O17" s="63"/>
      <c r="P17" s="63"/>
    </row>
    <row r="18" spans="1:16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H18" s="68"/>
      <c r="I18" s="68"/>
      <c r="J18" s="68"/>
      <c r="K18" s="69"/>
      <c r="L18" s="69"/>
      <c r="M18" s="69"/>
      <c r="N18" s="63"/>
      <c r="O18" s="63"/>
      <c r="P18" s="63"/>
    </row>
    <row r="19" spans="1:16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H19" s="68"/>
      <c r="I19" s="68"/>
      <c r="J19" s="68"/>
      <c r="K19" s="70"/>
      <c r="L19" s="69"/>
      <c r="M19" s="70"/>
      <c r="N19" s="63"/>
      <c r="O19" s="63"/>
      <c r="P19" s="63"/>
    </row>
    <row r="20" spans="1:16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9"/>
      <c r="M20" s="69"/>
      <c r="N20" s="63"/>
      <c r="O20" s="63"/>
      <c r="P20" s="63"/>
    </row>
    <row r="21" spans="1:16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3"/>
      <c r="O21" s="63"/>
      <c r="P21" s="63"/>
    </row>
    <row r="22" spans="1:16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3"/>
      <c r="O22" s="63"/>
      <c r="P22" s="63"/>
    </row>
    <row r="23" spans="1:16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3"/>
      <c r="O23" s="63"/>
      <c r="P23" s="63"/>
    </row>
    <row r="24" spans="1:16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3"/>
      <c r="O24" s="63"/>
      <c r="P24" s="63"/>
    </row>
    <row r="25" spans="1:16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3"/>
      <c r="O25" s="63"/>
      <c r="P25" s="63"/>
    </row>
    <row r="26" spans="1:16">
      <c r="A26" s="30"/>
      <c r="B26" s="30"/>
      <c r="C26" s="29">
        <f>SUM(C15:C25)</f>
        <v>0</v>
      </c>
      <c r="D26" s="29"/>
      <c r="E26" s="29">
        <f>SUM(E15:E25)</f>
        <v>0</v>
      </c>
      <c r="F26" s="30"/>
      <c r="H26" s="68"/>
      <c r="I26" s="68"/>
      <c r="J26" s="68"/>
      <c r="K26" s="69"/>
      <c r="L26" s="69"/>
      <c r="M26" s="69"/>
      <c r="N26" s="63"/>
      <c r="O26" s="63"/>
      <c r="P26" s="63"/>
    </row>
    <row r="27" spans="1:16">
      <c r="H27" s="68"/>
      <c r="I27" s="68"/>
      <c r="J27" s="68"/>
      <c r="K27" s="69"/>
      <c r="L27" s="69"/>
      <c r="M27" s="69"/>
      <c r="N27" s="63"/>
      <c r="O27" s="63"/>
      <c r="P27" s="63"/>
    </row>
    <row r="28" spans="1:16">
      <c r="H28" s="68"/>
      <c r="I28" s="68"/>
      <c r="J28" s="68"/>
      <c r="K28" s="69"/>
      <c r="L28" s="69"/>
      <c r="M28" s="69"/>
      <c r="N28" s="63"/>
      <c r="O28" s="63"/>
      <c r="P28" s="63"/>
    </row>
    <row r="29" spans="1:16">
      <c r="H29" s="68"/>
      <c r="I29" s="68"/>
      <c r="J29" s="68"/>
      <c r="K29" s="69"/>
      <c r="L29" s="69"/>
      <c r="M29" s="69"/>
      <c r="N29" s="63"/>
      <c r="O29" s="63"/>
      <c r="P29" s="63"/>
    </row>
    <row r="30" spans="1:16">
      <c r="H30" s="68"/>
      <c r="I30" s="68"/>
      <c r="J30" s="68"/>
      <c r="K30" s="69"/>
      <c r="L30" s="69"/>
      <c r="M30" s="69"/>
      <c r="N30" s="63"/>
      <c r="O30" s="63"/>
      <c r="P30" s="63"/>
    </row>
    <row r="31" spans="1:16">
      <c r="H31" s="68"/>
      <c r="I31" s="68"/>
      <c r="J31" s="68"/>
      <c r="K31" s="69"/>
      <c r="L31" s="69"/>
      <c r="M31" s="69"/>
      <c r="N31" s="63"/>
      <c r="O31" s="63"/>
      <c r="P31" s="63"/>
    </row>
    <row r="32" spans="1:16">
      <c r="C32">
        <f>+C15+C16</f>
        <v>0</v>
      </c>
      <c r="H32" s="68"/>
      <c r="I32" s="68"/>
      <c r="J32" s="68"/>
      <c r="K32" s="69"/>
      <c r="L32" s="69"/>
      <c r="M32" s="69"/>
      <c r="N32" s="63"/>
      <c r="O32" s="63"/>
      <c r="P32" s="63"/>
    </row>
    <row r="33" spans="8:16">
      <c r="H33" s="68"/>
      <c r="I33" s="68"/>
      <c r="J33" s="68"/>
      <c r="K33" s="69"/>
      <c r="L33" s="69"/>
      <c r="M33" s="69"/>
      <c r="N33" s="63"/>
      <c r="O33" s="63"/>
      <c r="P33" s="63"/>
    </row>
    <row r="34" spans="8:16">
      <c r="H34" s="68"/>
      <c r="I34" s="68"/>
      <c r="J34" s="68"/>
      <c r="K34" s="69"/>
      <c r="L34" s="69"/>
      <c r="M34" s="69"/>
      <c r="N34" s="63"/>
      <c r="O34" s="63"/>
      <c r="P34" s="63"/>
    </row>
    <row r="35" spans="8:16">
      <c r="H35" t="s">
        <v>32</v>
      </c>
      <c r="K35" s="63"/>
      <c r="L35" s="63"/>
      <c r="M35" s="63"/>
      <c r="N35" s="63"/>
      <c r="O35" s="63"/>
      <c r="P35" s="63"/>
    </row>
    <row r="36" spans="8:16">
      <c r="K36" s="63"/>
      <c r="L36" s="63"/>
      <c r="M36" s="63"/>
      <c r="N36" s="63"/>
      <c r="O36" s="63"/>
      <c r="P36" s="63"/>
    </row>
    <row r="37" spans="8:16">
      <c r="K37" s="63"/>
      <c r="L37" s="63"/>
      <c r="M37" s="63"/>
      <c r="N37" s="63"/>
      <c r="O37" s="63"/>
      <c r="P37" s="63"/>
    </row>
    <row r="38" spans="8:16">
      <c r="K38" s="63"/>
      <c r="L38" s="63"/>
      <c r="M38" s="63"/>
      <c r="N38" s="63"/>
      <c r="O38" s="63"/>
      <c r="P38" s="63"/>
    </row>
    <row r="39" spans="8:16">
      <c r="K39" s="63"/>
      <c r="L39" s="63"/>
      <c r="M39" s="63"/>
      <c r="N39" s="63"/>
      <c r="O39" s="63"/>
      <c r="P39" s="63"/>
    </row>
    <row r="40" spans="8:16">
      <c r="K40" s="63"/>
      <c r="L40" s="63"/>
      <c r="M40" s="63"/>
      <c r="N40" s="63"/>
      <c r="O40" s="63"/>
      <c r="P40" s="63"/>
    </row>
    <row r="41" spans="8:16">
      <c r="K41" s="63"/>
      <c r="L41" s="63"/>
      <c r="M41" s="63"/>
      <c r="N41" s="63"/>
      <c r="O41" s="63"/>
      <c r="P41" s="63"/>
    </row>
    <row r="42" spans="8:16">
      <c r="K42" s="63"/>
      <c r="L42" s="63"/>
      <c r="M42" s="63"/>
      <c r="N42" s="63"/>
      <c r="O42" s="63"/>
      <c r="P42" s="63"/>
    </row>
    <row r="43" spans="8:16">
      <c r="K43" s="63"/>
      <c r="L43" s="63"/>
      <c r="M43" s="63"/>
      <c r="N43" s="63"/>
      <c r="O43" s="63"/>
      <c r="P43" s="63"/>
    </row>
    <row r="44" spans="8:16">
      <c r="K44" s="63"/>
      <c r="L44" s="63"/>
      <c r="M44" s="63"/>
      <c r="N44" s="63"/>
      <c r="O44" s="63"/>
      <c r="P44" s="63"/>
    </row>
    <row r="45" spans="8:16">
      <c r="K45" s="63"/>
      <c r="L45" s="63"/>
      <c r="M45" s="63"/>
      <c r="N45" s="63"/>
      <c r="O45" s="63"/>
      <c r="P45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50"/>
  <sheetViews>
    <sheetView topLeftCell="K1" workbookViewId="0">
      <selection activeCell="AC2" sqref="AC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65.089901341314715</v>
      </c>
    </row>
    <row r="4" spans="1:24" s="2" customFormat="1">
      <c r="A4" s="3" t="s">
        <v>14</v>
      </c>
      <c r="B4" s="12">
        <f>+(H13+H14+H15)/$C$4</f>
        <v>2035.4693916531373</v>
      </c>
      <c r="C4" s="4">
        <v>104.71</v>
      </c>
      <c r="D4" s="5">
        <f>B4*C4</f>
        <v>213134</v>
      </c>
      <c r="E4" s="6">
        <v>0</v>
      </c>
      <c r="F4" s="7">
        <f>+E4*C4</f>
        <v>0</v>
      </c>
      <c r="G4" s="9">
        <f>+(H8*60%)/$C$4</f>
        <v>319.23312004584091</v>
      </c>
      <c r="H4" s="7">
        <f>+G4*C4</f>
        <v>33426.9</v>
      </c>
      <c r="I4" s="6">
        <f>J4/C4</f>
        <v>0</v>
      </c>
      <c r="J4" s="7">
        <v>0</v>
      </c>
      <c r="K4" s="8">
        <f>+L8/$C$4</f>
        <v>165.40320886257282</v>
      </c>
      <c r="L4" s="7">
        <f>+K4*C4</f>
        <v>17319.37</v>
      </c>
      <c r="M4" s="9">
        <f>+(N8*60%)/$C$4</f>
        <v>549.77631553815309</v>
      </c>
      <c r="N4" s="7">
        <f>+M4*C4</f>
        <v>57567.078000000009</v>
      </c>
      <c r="O4" s="9"/>
      <c r="P4" s="7">
        <f>+O4*C4</f>
        <v>0</v>
      </c>
      <c r="Q4" s="6">
        <v>1001.0567472065704</v>
      </c>
      <c r="R4" s="7">
        <f>+Q4*C4</f>
        <v>104820.65199999999</v>
      </c>
      <c r="S4" s="10">
        <f>+X4</f>
        <v>0</v>
      </c>
      <c r="T4" s="7">
        <f>+S4*C4</f>
        <v>0</v>
      </c>
      <c r="U4" s="11">
        <f>+B4-E4-G4-Q4-S4-K4-I4-M4-O4</f>
        <v>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1193.947455936149</v>
      </c>
      <c r="C5" s="4">
        <v>90.21</v>
      </c>
      <c r="D5" s="5">
        <f>B5*C5</f>
        <v>107706</v>
      </c>
      <c r="E5" s="6">
        <v>0</v>
      </c>
      <c r="F5" s="7">
        <f>+E5*C5</f>
        <v>0</v>
      </c>
      <c r="G5" s="6">
        <f>+(H8*40%)/$C$5</f>
        <v>247.03026272031929</v>
      </c>
      <c r="H5" s="7">
        <f>+G5*C5</f>
        <v>22284.600000000002</v>
      </c>
      <c r="I5" s="6">
        <f>+J8/C5</f>
        <v>86.132357831725983</v>
      </c>
      <c r="J5" s="7">
        <f>+I5*C5</f>
        <v>7770</v>
      </c>
      <c r="K5" s="6">
        <v>0</v>
      </c>
      <c r="L5" s="7">
        <f>+K5*C5</f>
        <v>0</v>
      </c>
      <c r="M5" s="6">
        <f>+(N8*40%)/$C$5</f>
        <v>425.43012969737288</v>
      </c>
      <c r="N5" s="7">
        <f>+M5*C5</f>
        <v>38378.052000000003</v>
      </c>
      <c r="O5" s="9">
        <f>+P8/C5</f>
        <v>0</v>
      </c>
      <c r="P5" s="7">
        <f>+O5*C5</f>
        <v>0</v>
      </c>
      <c r="Q5" s="6">
        <v>370.264804345416</v>
      </c>
      <c r="R5" s="7">
        <f>+Q5*C5</f>
        <v>33401.587999999974</v>
      </c>
      <c r="S5" s="10">
        <f>+X3</f>
        <v>65.089901341314715</v>
      </c>
      <c r="T5" s="7">
        <f>+S5*C5</f>
        <v>5871.76</v>
      </c>
      <c r="U5" s="11">
        <f>+B5-E5-G5-Q5-S5-K5-I5-M5-O5</f>
        <v>1.1368683772161603E-13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51.303191489361701</v>
      </c>
      <c r="C6" s="4">
        <v>112.8</v>
      </c>
      <c r="D6" s="5">
        <f>B6*C6</f>
        <v>5787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51.303191489361701</v>
      </c>
      <c r="R6" s="7">
        <f>+Q6*C6</f>
        <v>5787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3280.7200390786484</v>
      </c>
      <c r="C7" s="3"/>
      <c r="D7" s="13">
        <f t="shared" ref="D7:T7" si="0">SUM(D4:D6)</f>
        <v>326627</v>
      </c>
      <c r="E7" s="14">
        <f t="shared" si="0"/>
        <v>0</v>
      </c>
      <c r="F7" s="15">
        <f t="shared" si="0"/>
        <v>0</v>
      </c>
      <c r="G7" s="14">
        <f t="shared" si="0"/>
        <v>566.26338276616025</v>
      </c>
      <c r="H7" s="15">
        <f t="shared" si="0"/>
        <v>55711.5</v>
      </c>
      <c r="I7" s="14">
        <f t="shared" si="0"/>
        <v>86.132357831725983</v>
      </c>
      <c r="J7" s="15">
        <f t="shared" si="0"/>
        <v>7770</v>
      </c>
      <c r="K7" s="14">
        <f t="shared" si="0"/>
        <v>165.40320886257282</v>
      </c>
      <c r="L7" s="15">
        <f t="shared" si="0"/>
        <v>17319.37</v>
      </c>
      <c r="M7" s="14">
        <f t="shared" si="0"/>
        <v>975.20644523552596</v>
      </c>
      <c r="N7" s="15">
        <f t="shared" si="0"/>
        <v>95945.13</v>
      </c>
      <c r="O7" s="14">
        <f t="shared" si="0"/>
        <v>0</v>
      </c>
      <c r="P7" s="15">
        <f t="shared" si="0"/>
        <v>0</v>
      </c>
      <c r="Q7" s="14">
        <f t="shared" si="0"/>
        <v>1422.6247430413482</v>
      </c>
      <c r="R7" s="15">
        <f t="shared" si="0"/>
        <v>144009.23999999996</v>
      </c>
      <c r="S7" s="14">
        <f t="shared" si="0"/>
        <v>65.089901341314715</v>
      </c>
      <c r="T7" s="15">
        <f t="shared" si="0"/>
        <v>5871.76</v>
      </c>
      <c r="U7" s="11">
        <f>+B7-E7-G7-Q7-S7-K7-I7-M7-O7</f>
        <v>2.2737367544323206E-13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55711.5</v>
      </c>
      <c r="I8" s="18"/>
      <c r="J8" s="19">
        <v>7770</v>
      </c>
      <c r="K8" s="18"/>
      <c r="L8" s="19">
        <v>17319.37</v>
      </c>
      <c r="M8" s="20"/>
      <c r="N8" s="19">
        <v>95945.13</v>
      </c>
      <c r="O8" s="20" t="s">
        <v>19</v>
      </c>
      <c r="P8" s="19">
        <v>0</v>
      </c>
      <c r="Q8" s="18">
        <v>0</v>
      </c>
      <c r="R8" s="19">
        <v>144008</v>
      </c>
      <c r="S8" s="18"/>
      <c r="T8" s="19">
        <v>5872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1.2399999999615829</v>
      </c>
      <c r="S9" s="21"/>
      <c r="T9" s="22">
        <f>+T7-T8</f>
        <v>-0.23999999999978172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1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84250</v>
      </c>
      <c r="I13" s="36">
        <v>45702</v>
      </c>
      <c r="J13" s="60">
        <v>5787</v>
      </c>
      <c r="K13" s="63"/>
      <c r="L13" s="63"/>
      <c r="M13" s="63"/>
      <c r="N13" s="63"/>
      <c r="O13" s="63"/>
      <c r="P13" s="63"/>
      <c r="Q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128884</v>
      </c>
      <c r="I14" s="36">
        <v>21887</v>
      </c>
      <c r="J14" s="60"/>
      <c r="K14" s="64"/>
      <c r="L14" s="64"/>
      <c r="M14" s="64"/>
      <c r="N14" s="63"/>
      <c r="O14" s="63"/>
      <c r="P14" s="63"/>
      <c r="Q14" s="63"/>
    </row>
    <row r="15" spans="1:24">
      <c r="A15" s="33" t="s">
        <v>30</v>
      </c>
      <c r="B15" s="34" t="s">
        <v>13</v>
      </c>
      <c r="C15" s="29">
        <f t="shared" ref="C15:C25" si="1">+E15/D15</f>
        <v>65.089901341314715</v>
      </c>
      <c r="D15" s="30">
        <f t="shared" ref="D15:D25" si="2">+VLOOKUP(B15,A$4:C$6,3,0)</f>
        <v>90.21</v>
      </c>
      <c r="E15" s="42">
        <v>5871.76</v>
      </c>
      <c r="F15" s="34">
        <v>22453</v>
      </c>
      <c r="H15" s="36"/>
      <c r="I15" s="36">
        <v>40117</v>
      </c>
      <c r="J15" s="61"/>
      <c r="K15" s="65"/>
      <c r="L15" s="63"/>
      <c r="M15" s="63"/>
      <c r="N15" s="63"/>
      <c r="O15" s="63"/>
      <c r="P15" s="63"/>
      <c r="Q15" s="63"/>
      <c r="V15">
        <f>2123+9236+3417.23+18069.1</f>
        <v>32845.33</v>
      </c>
    </row>
    <row r="16" spans="1:24">
      <c r="A16" s="33"/>
      <c r="B16" s="34" t="s">
        <v>13</v>
      </c>
      <c r="C16" s="29">
        <f t="shared" si="1"/>
        <v>0</v>
      </c>
      <c r="D16" s="30">
        <f t="shared" si="2"/>
        <v>90.21</v>
      </c>
      <c r="E16" s="42"/>
      <c r="F16" s="34"/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</row>
    <row r="17" spans="1:17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  <c r="P17" s="63"/>
      <c r="Q17" s="63"/>
    </row>
    <row r="18" spans="1:17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H18" s="68"/>
      <c r="I18" s="68"/>
      <c r="J18" s="68"/>
      <c r="K18" s="69"/>
      <c r="L18" s="69"/>
      <c r="M18" s="69"/>
      <c r="N18" s="63"/>
      <c r="O18" s="63"/>
      <c r="P18" s="63"/>
      <c r="Q18" s="63"/>
    </row>
    <row r="19" spans="1:17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H19" s="68"/>
      <c r="I19" s="68"/>
      <c r="J19" s="68"/>
      <c r="K19" s="70"/>
      <c r="L19" s="69"/>
      <c r="M19" s="70"/>
      <c r="N19" s="63"/>
      <c r="O19" s="63"/>
      <c r="P19" s="63"/>
      <c r="Q19" s="63"/>
    </row>
    <row r="20" spans="1:17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9"/>
      <c r="M20" s="69"/>
      <c r="N20" s="63"/>
      <c r="O20" s="63"/>
      <c r="P20" s="63"/>
      <c r="Q20" s="63"/>
    </row>
    <row r="21" spans="1:17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3"/>
      <c r="O21" s="63"/>
      <c r="P21" s="63"/>
      <c r="Q21" s="63"/>
    </row>
    <row r="22" spans="1:17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3"/>
      <c r="O22" s="63"/>
      <c r="P22" s="63"/>
      <c r="Q22" s="63"/>
    </row>
    <row r="23" spans="1:17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3"/>
      <c r="O23" s="63"/>
      <c r="P23" s="63"/>
      <c r="Q23" s="63"/>
    </row>
    <row r="24" spans="1:17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3"/>
      <c r="O24" s="63"/>
      <c r="P24" s="63"/>
      <c r="Q24" s="63"/>
    </row>
    <row r="25" spans="1:17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3"/>
      <c r="O25" s="63"/>
      <c r="P25" s="63"/>
      <c r="Q25" s="63"/>
    </row>
    <row r="26" spans="1:17">
      <c r="A26" s="30"/>
      <c r="B26" s="30"/>
      <c r="C26" s="29">
        <f>SUM(C15:C25)</f>
        <v>65.089901341314715</v>
      </c>
      <c r="D26" s="29"/>
      <c r="E26" s="29">
        <f>SUM(E15:E25)</f>
        <v>5871.76</v>
      </c>
      <c r="F26" s="30"/>
      <c r="H26" s="68"/>
      <c r="I26" s="68"/>
      <c r="J26" s="68"/>
      <c r="K26" s="69"/>
      <c r="L26" s="69"/>
      <c r="M26" s="69"/>
      <c r="N26" s="63"/>
      <c r="O26" s="63"/>
      <c r="P26" s="63"/>
      <c r="Q26" s="63"/>
    </row>
    <row r="27" spans="1:17">
      <c r="H27" s="68"/>
      <c r="I27" s="68"/>
      <c r="J27" s="68"/>
      <c r="K27" s="69"/>
      <c r="L27" s="69"/>
      <c r="M27" s="69"/>
      <c r="N27" s="63"/>
      <c r="O27" s="63"/>
      <c r="P27" s="63"/>
      <c r="Q27" s="63"/>
    </row>
    <row r="28" spans="1:17">
      <c r="H28" s="68"/>
      <c r="I28" s="68"/>
      <c r="J28" s="68"/>
      <c r="K28" s="69"/>
      <c r="L28" s="69"/>
      <c r="M28" s="69"/>
      <c r="N28" s="63"/>
      <c r="O28" s="63"/>
      <c r="P28" s="63"/>
      <c r="Q28" s="63"/>
    </row>
    <row r="29" spans="1:17">
      <c r="H29" s="68"/>
      <c r="I29" s="68"/>
      <c r="J29" s="68"/>
      <c r="K29" s="69"/>
      <c r="L29" s="69"/>
      <c r="M29" s="69"/>
      <c r="N29" s="63"/>
      <c r="O29" s="63"/>
      <c r="P29" s="63"/>
      <c r="Q29" s="63"/>
    </row>
    <row r="30" spans="1:17">
      <c r="H30" s="68"/>
      <c r="I30" s="68"/>
      <c r="J30" s="68"/>
      <c r="K30" s="69"/>
      <c r="L30" s="69"/>
      <c r="M30" s="69"/>
      <c r="N30" s="63"/>
      <c r="O30" s="63"/>
      <c r="P30" s="63"/>
      <c r="Q30" s="63"/>
    </row>
    <row r="31" spans="1:17">
      <c r="H31" s="68"/>
      <c r="I31" s="68"/>
      <c r="J31" s="68"/>
      <c r="K31" s="69"/>
      <c r="L31" s="69"/>
      <c r="M31" s="69"/>
      <c r="N31" s="63"/>
      <c r="O31" s="63"/>
      <c r="P31" s="63"/>
      <c r="Q31" s="63"/>
    </row>
    <row r="32" spans="1:17">
      <c r="C32">
        <f>+C15+C16</f>
        <v>65.089901341314715</v>
      </c>
      <c r="H32" s="68"/>
      <c r="I32" s="68"/>
      <c r="J32" s="68"/>
      <c r="K32" s="69"/>
      <c r="L32" s="69"/>
      <c r="M32" s="69"/>
      <c r="N32" s="63"/>
      <c r="O32" s="63"/>
      <c r="P32" s="63"/>
      <c r="Q32" s="63"/>
    </row>
    <row r="33" spans="8:17">
      <c r="H33" s="68"/>
      <c r="I33" s="68"/>
      <c r="J33" s="68"/>
      <c r="K33" s="69"/>
      <c r="L33" s="69"/>
      <c r="M33" s="69"/>
      <c r="N33" s="63"/>
      <c r="O33" s="63"/>
      <c r="P33" s="63"/>
      <c r="Q33" s="63"/>
    </row>
    <row r="34" spans="8:17">
      <c r="H34" s="68"/>
      <c r="I34" s="68"/>
      <c r="J34" s="68"/>
      <c r="K34" s="69"/>
      <c r="L34" s="69"/>
      <c r="M34" s="69"/>
      <c r="N34" s="63"/>
      <c r="O34" s="63"/>
      <c r="P34" s="63"/>
      <c r="Q34" s="63"/>
    </row>
    <row r="35" spans="8:17">
      <c r="H35" s="68"/>
      <c r="I35" s="68"/>
      <c r="J35" s="68"/>
      <c r="K35" s="69"/>
      <c r="L35" s="69"/>
      <c r="M35" s="69"/>
      <c r="N35" s="63"/>
      <c r="O35" s="63"/>
      <c r="P35" s="63"/>
      <c r="Q35" s="63"/>
    </row>
    <row r="36" spans="8:17">
      <c r="H36" s="68"/>
      <c r="I36" s="68"/>
      <c r="J36" s="68"/>
      <c r="K36" s="69"/>
      <c r="L36" s="69"/>
      <c r="M36" s="69"/>
      <c r="N36" s="63"/>
      <c r="O36" s="63"/>
      <c r="P36" s="63"/>
      <c r="Q36" s="63"/>
    </row>
    <row r="37" spans="8:17">
      <c r="K37" s="63"/>
      <c r="L37" s="63"/>
      <c r="M37" s="63"/>
      <c r="N37" s="63"/>
      <c r="O37" s="63"/>
      <c r="P37" s="63"/>
      <c r="Q37" s="63"/>
    </row>
    <row r="38" spans="8:17">
      <c r="K38" s="63"/>
      <c r="L38" s="63"/>
      <c r="M38" s="63"/>
      <c r="N38" s="63"/>
      <c r="O38" s="63"/>
      <c r="P38" s="63"/>
      <c r="Q38" s="63"/>
    </row>
    <row r="39" spans="8:17">
      <c r="K39" s="63"/>
      <c r="L39" s="63"/>
      <c r="M39" s="63"/>
      <c r="N39" s="63"/>
      <c r="O39" s="63"/>
      <c r="P39" s="63"/>
      <c r="Q39" s="63"/>
    </row>
    <row r="40" spans="8:17">
      <c r="K40" s="63"/>
      <c r="L40" s="63"/>
      <c r="M40" s="63"/>
      <c r="N40" s="63"/>
      <c r="O40" s="63"/>
      <c r="P40" s="63"/>
      <c r="Q40" s="63"/>
    </row>
    <row r="41" spans="8:17">
      <c r="K41" s="63"/>
      <c r="L41" s="63"/>
      <c r="M41" s="63"/>
      <c r="N41" s="63"/>
      <c r="O41" s="63"/>
      <c r="P41" s="63"/>
      <c r="Q41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0"/>
  <sheetViews>
    <sheetView topLeftCell="E1" workbookViewId="0">
      <selection activeCell="T4" sqref="T4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296.68983482984152</v>
      </c>
    </row>
    <row r="4" spans="1:24" s="2" customFormat="1">
      <c r="A4" s="3" t="s">
        <v>14</v>
      </c>
      <c r="B4" s="12">
        <f>+(H13+H14+H15)/$C$4</f>
        <v>1400.0955018622865</v>
      </c>
      <c r="C4" s="4">
        <v>104.71</v>
      </c>
      <c r="D4" s="5">
        <f>B4*C4</f>
        <v>146604</v>
      </c>
      <c r="E4" s="6">
        <v>0</v>
      </c>
      <c r="F4" s="7">
        <f>+E4*C4</f>
        <v>0</v>
      </c>
      <c r="G4" s="9">
        <f>+(H8*60%)/$C$4</f>
        <v>300.85103619520578</v>
      </c>
      <c r="H4" s="7">
        <f>+G4*C4</f>
        <v>31502.111999999994</v>
      </c>
      <c r="I4" s="6">
        <f>J4/C4</f>
        <v>0</v>
      </c>
      <c r="J4" s="7">
        <v>0</v>
      </c>
      <c r="K4" s="8">
        <f>+L8/$C$4</f>
        <v>30.69429853882151</v>
      </c>
      <c r="L4" s="7">
        <f>+K4*C4</f>
        <v>3214</v>
      </c>
      <c r="M4" s="9">
        <f>+(N8*60%)/$C$4</f>
        <v>703.14544933626212</v>
      </c>
      <c r="N4" s="7">
        <f>+M4*C4</f>
        <v>73626.36</v>
      </c>
      <c r="O4" s="9"/>
      <c r="P4" s="7">
        <f>+O4*C4</f>
        <v>0</v>
      </c>
      <c r="Q4" s="6">
        <v>365.40471779199697</v>
      </c>
      <c r="R4" s="7">
        <f>+Q4*C4</f>
        <v>38261.527999999998</v>
      </c>
      <c r="S4" s="10">
        <f>+X4</f>
        <v>0</v>
      </c>
      <c r="T4" s="7">
        <f>+S4*C4</f>
        <v>0</v>
      </c>
      <c r="U4" s="11">
        <f>+B4-E4-G4-Q4-S4-K4-I4-M4-O4</f>
        <v>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1540.1951003214722</v>
      </c>
      <c r="C5" s="4">
        <v>90.21</v>
      </c>
      <c r="D5" s="5">
        <f>B5*C5</f>
        <v>138941</v>
      </c>
      <c r="E5" s="6">
        <v>0</v>
      </c>
      <c r="F5" s="7">
        <f>+E5*C5</f>
        <v>0</v>
      </c>
      <c r="G5" s="6">
        <f>+(H8*40%)/$C$5</f>
        <v>232.80576432767987</v>
      </c>
      <c r="H5" s="7">
        <f>+G5*C5</f>
        <v>21001.407999999999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544.11085245538197</v>
      </c>
      <c r="N5" s="7">
        <f>+M5*C5</f>
        <v>49084.240000000005</v>
      </c>
      <c r="O5" s="9">
        <f>+P8/C5</f>
        <v>0</v>
      </c>
      <c r="P5" s="7">
        <f>+O5*C5</f>
        <v>0</v>
      </c>
      <c r="Q5" s="6">
        <v>466.58864870856894</v>
      </c>
      <c r="R5" s="7">
        <f>+Q5*C5</f>
        <v>42090.962</v>
      </c>
      <c r="S5" s="10">
        <f>+X3</f>
        <v>296.68983482984152</v>
      </c>
      <c r="T5" s="7">
        <f>+S5*C5</f>
        <v>26764.390000000003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32.845744680851062</v>
      </c>
      <c r="C6" s="4">
        <v>112.8</v>
      </c>
      <c r="D6" s="5">
        <f>B6*C6</f>
        <v>3704.9999999999995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32.845744680851062</v>
      </c>
      <c r="R6" s="7">
        <f>+Q6*C6</f>
        <v>3704.9999999999995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2973.13634686461</v>
      </c>
      <c r="C7" s="3"/>
      <c r="D7" s="13">
        <f t="shared" ref="D7:T7" si="0">SUM(D4:D6)</f>
        <v>289250</v>
      </c>
      <c r="E7" s="14">
        <f t="shared" si="0"/>
        <v>0</v>
      </c>
      <c r="F7" s="15">
        <f t="shared" si="0"/>
        <v>0</v>
      </c>
      <c r="G7" s="14">
        <f t="shared" si="0"/>
        <v>533.65680052288565</v>
      </c>
      <c r="H7" s="15">
        <f t="shared" si="0"/>
        <v>52503.51999999999</v>
      </c>
      <c r="I7" s="14">
        <f t="shared" si="0"/>
        <v>0</v>
      </c>
      <c r="J7" s="15">
        <f t="shared" si="0"/>
        <v>0</v>
      </c>
      <c r="K7" s="14">
        <f t="shared" si="0"/>
        <v>30.69429853882151</v>
      </c>
      <c r="L7" s="15">
        <f t="shared" si="0"/>
        <v>3214</v>
      </c>
      <c r="M7" s="14">
        <f t="shared" si="0"/>
        <v>1247.2563017916441</v>
      </c>
      <c r="N7" s="15">
        <f t="shared" si="0"/>
        <v>122710.6</v>
      </c>
      <c r="O7" s="14">
        <f t="shared" si="0"/>
        <v>0</v>
      </c>
      <c r="P7" s="15">
        <f t="shared" si="0"/>
        <v>0</v>
      </c>
      <c r="Q7" s="14">
        <f t="shared" si="0"/>
        <v>864.83911118141702</v>
      </c>
      <c r="R7" s="15">
        <f t="shared" si="0"/>
        <v>84057.489999999991</v>
      </c>
      <c r="S7" s="14">
        <f t="shared" si="0"/>
        <v>296.68983482984152</v>
      </c>
      <c r="T7" s="15">
        <f t="shared" si="0"/>
        <v>26764.390000000003</v>
      </c>
      <c r="U7" s="11">
        <f>+B7-E7-G7-Q7-S7-K7-I7-M7-O7</f>
        <v>2.2737367544323206E-13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f>3527.5+48976.02</f>
        <v>52503.519999999997</v>
      </c>
      <c r="I8" s="18"/>
      <c r="J8" s="19">
        <v>0</v>
      </c>
      <c r="K8" s="18"/>
      <c r="L8" s="19">
        <v>3214</v>
      </c>
      <c r="M8" s="20"/>
      <c r="N8" s="19">
        <f>35780.25+86930.35</f>
        <v>122710.6</v>
      </c>
      <c r="O8" s="20" t="s">
        <v>19</v>
      </c>
      <c r="P8" s="19">
        <v>0</v>
      </c>
      <c r="Q8" s="18">
        <v>0</v>
      </c>
      <c r="R8" s="19">
        <v>75857</v>
      </c>
      <c r="S8" s="18"/>
      <c r="T8" s="19">
        <v>34964.39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8200.4899999999907</v>
      </c>
      <c r="S9" s="21"/>
      <c r="T9" s="22">
        <f>+T7-T8</f>
        <v>-8199.9999999999964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0.49000000000523869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9"/>
      <c r="L12" s="69"/>
      <c r="M12" s="69"/>
      <c r="N12" s="69"/>
      <c r="O12" s="69"/>
    </row>
    <row r="13" spans="1:24">
      <c r="A13" s="58" t="s">
        <v>23</v>
      </c>
      <c r="B13" s="59"/>
      <c r="C13" s="59"/>
      <c r="D13" s="59"/>
      <c r="E13" s="59"/>
      <c r="F13" s="57"/>
      <c r="H13" s="30">
        <v>70652</v>
      </c>
      <c r="I13" s="36">
        <v>76363</v>
      </c>
      <c r="J13" s="60">
        <v>3705</v>
      </c>
      <c r="K13" s="69"/>
      <c r="L13" s="69"/>
      <c r="M13" s="69"/>
      <c r="N13" s="69"/>
      <c r="O13" s="69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75952</v>
      </c>
      <c r="I14" s="36">
        <v>23232</v>
      </c>
      <c r="J14" s="60"/>
      <c r="K14" s="74"/>
      <c r="L14" s="74"/>
      <c r="M14" s="74"/>
      <c r="N14" s="69"/>
      <c r="O14" s="69"/>
    </row>
    <row r="15" spans="1:24">
      <c r="A15" s="33" t="s">
        <v>41</v>
      </c>
      <c r="B15" s="34" t="s">
        <v>13</v>
      </c>
      <c r="C15" s="29">
        <f t="shared" ref="C15:C25" si="1">+E15/D15</f>
        <v>193.58995676754242</v>
      </c>
      <c r="D15" s="30">
        <f t="shared" ref="D15:D25" si="2">+VLOOKUP(B15,A$4:C$6,3,0)</f>
        <v>90.21</v>
      </c>
      <c r="E15" s="42">
        <v>17463.75</v>
      </c>
      <c r="F15" s="34">
        <v>22456</v>
      </c>
      <c r="H15" s="36"/>
      <c r="I15" s="36">
        <v>39346</v>
      </c>
      <c r="J15" s="61"/>
      <c r="K15" s="70"/>
      <c r="L15" s="69"/>
      <c r="M15" s="69"/>
      <c r="N15" s="69"/>
      <c r="O15" s="69"/>
      <c r="V15">
        <f>2123+9236+3417.23+18069.1</f>
        <v>32845.33</v>
      </c>
    </row>
    <row r="16" spans="1:24">
      <c r="A16" s="33" t="s">
        <v>41</v>
      </c>
      <c r="B16" s="34" t="s">
        <v>13</v>
      </c>
      <c r="C16" s="29">
        <f t="shared" si="1"/>
        <v>25.499944573772311</v>
      </c>
      <c r="D16" s="30">
        <f t="shared" si="2"/>
        <v>90.21</v>
      </c>
      <c r="E16" s="42">
        <v>2300.35</v>
      </c>
      <c r="F16" s="34">
        <v>22459</v>
      </c>
      <c r="H16" s="30">
        <f>+H24/C4</f>
        <v>0</v>
      </c>
      <c r="I16" s="43">
        <f>+I24/C5</f>
        <v>0</v>
      </c>
      <c r="J16" s="62">
        <f>+J24/C6</f>
        <v>0</v>
      </c>
      <c r="K16" s="70"/>
      <c r="L16" s="69"/>
      <c r="M16" s="70"/>
      <c r="N16" s="69"/>
      <c r="O16" s="69"/>
    </row>
    <row r="17" spans="1:15">
      <c r="A17" s="33" t="s">
        <v>38</v>
      </c>
      <c r="B17" s="34" t="s">
        <v>13</v>
      </c>
      <c r="C17" s="29">
        <f t="shared" si="1"/>
        <v>77.599933488526773</v>
      </c>
      <c r="D17" s="30">
        <f t="shared" si="2"/>
        <v>90.21</v>
      </c>
      <c r="E17" s="44">
        <v>7000.29</v>
      </c>
      <c r="F17" s="34">
        <v>22460</v>
      </c>
      <c r="H17" s="28"/>
      <c r="K17" s="70"/>
      <c r="L17" s="69"/>
      <c r="M17" s="69"/>
      <c r="N17" s="69"/>
      <c r="O17" s="69"/>
    </row>
    <row r="18" spans="1:15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9"/>
      <c r="L18" s="69"/>
      <c r="M18" s="69"/>
      <c r="N18" s="69"/>
      <c r="O18" s="69"/>
    </row>
    <row r="19" spans="1:15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70"/>
      <c r="L19" s="69"/>
      <c r="M19" s="70"/>
      <c r="N19" s="69"/>
      <c r="O19" s="69"/>
    </row>
    <row r="20" spans="1:15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70"/>
      <c r="L20" s="69"/>
      <c r="M20" s="69"/>
      <c r="N20" s="69"/>
      <c r="O20" s="69"/>
    </row>
    <row r="21" spans="1:15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70"/>
      <c r="L21" s="69"/>
      <c r="M21" s="70"/>
      <c r="N21" s="69"/>
      <c r="O21" s="69"/>
    </row>
    <row r="22" spans="1:15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9"/>
      <c r="L22" s="69"/>
      <c r="M22" s="69"/>
      <c r="N22" s="69"/>
      <c r="O22" s="69"/>
    </row>
    <row r="23" spans="1:15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9"/>
      <c r="L23" s="69"/>
      <c r="M23" s="69"/>
      <c r="N23" s="69"/>
      <c r="O23" s="69"/>
    </row>
    <row r="24" spans="1:15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  <c r="K24" s="69"/>
      <c r="L24" s="69"/>
      <c r="M24" s="69"/>
      <c r="N24" s="69"/>
      <c r="O24" s="69"/>
    </row>
    <row r="25" spans="1:15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  <c r="K25" s="69"/>
      <c r="L25" s="69"/>
      <c r="M25" s="69"/>
      <c r="N25" s="69"/>
      <c r="O25" s="69"/>
    </row>
    <row r="26" spans="1:15">
      <c r="A26" s="30"/>
      <c r="B26" s="30"/>
      <c r="C26" s="29">
        <f>SUM(C15:C25)</f>
        <v>296.68983482984152</v>
      </c>
      <c r="D26" s="29"/>
      <c r="E26" s="29">
        <f>SUM(E15:E25)</f>
        <v>26764.39</v>
      </c>
      <c r="F26" s="30"/>
      <c r="K26" s="69"/>
      <c r="L26" s="69"/>
      <c r="M26" s="69"/>
      <c r="N26" s="69"/>
      <c r="O26" s="69"/>
    </row>
    <row r="27" spans="1:15">
      <c r="K27" s="69"/>
      <c r="L27" s="69"/>
      <c r="M27" s="69"/>
      <c r="N27" s="69"/>
      <c r="O27" s="69"/>
    </row>
    <row r="32" spans="1:15">
      <c r="C32">
        <f>+C15+C16</f>
        <v>219.08990134131471</v>
      </c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50"/>
  <sheetViews>
    <sheetView workbookViewId="0"/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679.2699257288549</v>
      </c>
    </row>
    <row r="4" spans="1:24" s="2" customFormat="1">
      <c r="A4" s="3" t="s">
        <v>14</v>
      </c>
      <c r="B4" s="12">
        <f>+(H13+H14+H15)/$C$4</f>
        <v>1232.1745774042595</v>
      </c>
      <c r="C4" s="4">
        <v>104.71</v>
      </c>
      <c r="D4" s="5">
        <f>B4*C4</f>
        <v>129021</v>
      </c>
      <c r="E4" s="6">
        <v>0</v>
      </c>
      <c r="F4" s="7">
        <f>+E4*C4</f>
        <v>0</v>
      </c>
      <c r="G4" s="9">
        <f>+(H8*60%)/$C$4</f>
        <v>216.40672333110498</v>
      </c>
      <c r="H4" s="7">
        <f>+G4*C4</f>
        <v>22659.948</v>
      </c>
      <c r="I4" s="6">
        <f>J4/C4</f>
        <v>0</v>
      </c>
      <c r="J4" s="7">
        <v>0</v>
      </c>
      <c r="K4" s="8">
        <f>+L8/$C$4</f>
        <v>50.733167796772044</v>
      </c>
      <c r="L4" s="7">
        <f>+K4*C4</f>
        <v>5312.27</v>
      </c>
      <c r="M4" s="9">
        <f>+(N8*60%)/$C$4</f>
        <v>416.73635755897243</v>
      </c>
      <c r="N4" s="7">
        <f>+M4*C4</f>
        <v>43636.464</v>
      </c>
      <c r="O4" s="9"/>
      <c r="P4" s="7">
        <f>+O4*C4</f>
        <v>0</v>
      </c>
      <c r="Q4" s="6">
        <v>548.29832871740996</v>
      </c>
      <c r="R4" s="7">
        <f>+Q4*C4</f>
        <v>57412.317999999992</v>
      </c>
      <c r="S4" s="10">
        <f>+X4</f>
        <v>0</v>
      </c>
      <c r="T4" s="7">
        <f>+S4*C4</f>
        <v>0</v>
      </c>
      <c r="U4" s="11">
        <f>+B4-E4-G4-Q4-S4-K4-I4-M4-O4</f>
        <v>5.6843418860808015E-14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1630.717215386321</v>
      </c>
      <c r="C5" s="4">
        <v>90.21</v>
      </c>
      <c r="D5" s="5">
        <f>B5*C5</f>
        <v>147107</v>
      </c>
      <c r="E5" s="6">
        <v>0</v>
      </c>
      <c r="F5" s="7">
        <f>+E5*C5</f>
        <v>0</v>
      </c>
      <c r="G5" s="6">
        <f>+(H8*40%)/$C$5</f>
        <v>167.46072497505821</v>
      </c>
      <c r="H5" s="7">
        <f>+G5*C5</f>
        <v>15106.632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322.48061190555376</v>
      </c>
      <c r="N5" s="7">
        <f>+M5*C5</f>
        <v>29090.976000000002</v>
      </c>
      <c r="O5" s="9">
        <f>+P8/C5</f>
        <v>0</v>
      </c>
      <c r="P5" s="7">
        <f>+O5*C5</f>
        <v>0</v>
      </c>
      <c r="Q5" s="6">
        <v>461.50595277685414</v>
      </c>
      <c r="R5" s="7">
        <f>+Q5*C5</f>
        <v>41632.452000000012</v>
      </c>
      <c r="S5" s="10">
        <f>+X3</f>
        <v>679.2699257288549</v>
      </c>
      <c r="T5" s="7">
        <f>+S5*C5</f>
        <v>61276.939999999995</v>
      </c>
      <c r="U5" s="11">
        <f>+B5-E5-G5-Q5-S5-K5-I5-M5-O5</f>
        <v>-5.6843418860808015E-14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188.02304964539007</v>
      </c>
      <c r="C6" s="4">
        <v>112.8</v>
      </c>
      <c r="D6" s="5">
        <f>B6*C6</f>
        <v>21209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188.02304964539007</v>
      </c>
      <c r="R6" s="7">
        <f>+Q6*C6</f>
        <v>21209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3050.9148424359705</v>
      </c>
      <c r="C7" s="3"/>
      <c r="D7" s="13">
        <f t="shared" ref="D7:T7" si="0">SUM(D4:D6)</f>
        <v>297337</v>
      </c>
      <c r="E7" s="14">
        <f t="shared" si="0"/>
        <v>0</v>
      </c>
      <c r="F7" s="15">
        <f t="shared" si="0"/>
        <v>0</v>
      </c>
      <c r="G7" s="14">
        <f t="shared" si="0"/>
        <v>383.86744830616317</v>
      </c>
      <c r="H7" s="15">
        <f t="shared" si="0"/>
        <v>37766.58</v>
      </c>
      <c r="I7" s="14">
        <f t="shared" si="0"/>
        <v>0</v>
      </c>
      <c r="J7" s="15">
        <f t="shared" si="0"/>
        <v>0</v>
      </c>
      <c r="K7" s="14">
        <f t="shared" si="0"/>
        <v>50.733167796772044</v>
      </c>
      <c r="L7" s="15">
        <f t="shared" si="0"/>
        <v>5312.27</v>
      </c>
      <c r="M7" s="14">
        <f t="shared" si="0"/>
        <v>739.21696946452619</v>
      </c>
      <c r="N7" s="15">
        <f t="shared" si="0"/>
        <v>72727.44</v>
      </c>
      <c r="O7" s="14">
        <f t="shared" si="0"/>
        <v>0</v>
      </c>
      <c r="P7" s="15">
        <f t="shared" si="0"/>
        <v>0</v>
      </c>
      <c r="Q7" s="14">
        <f t="shared" si="0"/>
        <v>1197.8273311396542</v>
      </c>
      <c r="R7" s="15">
        <f t="shared" si="0"/>
        <v>120253.77</v>
      </c>
      <c r="S7" s="14">
        <f t="shared" si="0"/>
        <v>679.2699257288549</v>
      </c>
      <c r="T7" s="15">
        <f t="shared" si="0"/>
        <v>61276.939999999995</v>
      </c>
      <c r="U7" s="11">
        <f>+B7-E7-G7-Q7-S7-K7-I7-M7-O7</f>
        <v>0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37766.58</v>
      </c>
      <c r="I8" s="18"/>
      <c r="J8" s="19">
        <v>0</v>
      </c>
      <c r="K8" s="18"/>
      <c r="L8" s="19">
        <v>5312.27</v>
      </c>
      <c r="M8" s="20"/>
      <c r="N8" s="19">
        <v>72727.44</v>
      </c>
      <c r="O8" s="20" t="s">
        <v>19</v>
      </c>
      <c r="P8" s="19">
        <v>0</v>
      </c>
      <c r="Q8" s="18">
        <v>0</v>
      </c>
      <c r="R8" s="19">
        <v>107958</v>
      </c>
      <c r="S8" s="18"/>
      <c r="T8" s="19">
        <v>73572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12295.770000000004</v>
      </c>
      <c r="S9" s="21"/>
      <c r="T9" s="22">
        <f>+T7-T8</f>
        <v>-12295.060000000005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0.70999999999185093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56015</v>
      </c>
      <c r="I13" s="36">
        <v>35729</v>
      </c>
      <c r="J13" s="60">
        <v>21209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73006</v>
      </c>
      <c r="I14" s="36">
        <v>68649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4">
      <c r="A15" s="33" t="s">
        <v>41</v>
      </c>
      <c r="B15" s="34" t="s">
        <v>13</v>
      </c>
      <c r="C15" s="29">
        <f t="shared" ref="C15:C25" si="1">+E15/D15</f>
        <v>243.87373905332004</v>
      </c>
      <c r="D15" s="30">
        <f t="shared" ref="D15:D25" si="2">+VLOOKUP(B15,A$4:C$6,3,0)</f>
        <v>90.21</v>
      </c>
      <c r="E15" s="42">
        <v>21999.85</v>
      </c>
      <c r="F15" s="34">
        <v>22462</v>
      </c>
      <c r="H15" s="36"/>
      <c r="I15" s="36">
        <v>42729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1:24">
      <c r="A16" s="33" t="s">
        <v>30</v>
      </c>
      <c r="B16" s="34" t="s">
        <v>13</v>
      </c>
      <c r="C16" s="29">
        <f t="shared" si="1"/>
        <v>193.71322469792707</v>
      </c>
      <c r="D16" s="30">
        <f t="shared" si="2"/>
        <v>90.21</v>
      </c>
      <c r="E16" s="42">
        <v>17474.87</v>
      </c>
      <c r="F16" s="34">
        <v>22463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1:23">
      <c r="A17" s="33" t="s">
        <v>33</v>
      </c>
      <c r="B17" s="34" t="s">
        <v>13</v>
      </c>
      <c r="C17" s="29">
        <f t="shared" si="1"/>
        <v>204.10564238997895</v>
      </c>
      <c r="D17" s="30">
        <f t="shared" si="2"/>
        <v>90.21</v>
      </c>
      <c r="E17" s="44">
        <v>18412.37</v>
      </c>
      <c r="F17" s="34">
        <v>22464</v>
      </c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1:23">
      <c r="A18" s="33" t="s">
        <v>35</v>
      </c>
      <c r="B18" s="34" t="s">
        <v>13</v>
      </c>
      <c r="C18" s="29">
        <f t="shared" si="1"/>
        <v>37.577319587628871</v>
      </c>
      <c r="D18" s="30">
        <f t="shared" si="2"/>
        <v>90.21</v>
      </c>
      <c r="E18" s="44">
        <v>3389.85</v>
      </c>
      <c r="F18" s="34">
        <v>22465</v>
      </c>
      <c r="H18" s="68"/>
      <c r="I18" s="68"/>
      <c r="J18" s="68"/>
      <c r="K18" s="69"/>
      <c r="L18" s="69"/>
      <c r="M18" s="69"/>
      <c r="N18" s="69"/>
      <c r="O18" s="69"/>
      <c r="P18" s="69"/>
      <c r="Q18" s="63"/>
      <c r="R18" s="63"/>
      <c r="S18" s="63"/>
      <c r="T18" s="63"/>
      <c r="U18" s="63"/>
      <c r="V18" s="63"/>
      <c r="W18" s="63"/>
    </row>
    <row r="19" spans="1:23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H19" s="68"/>
      <c r="I19" s="68"/>
      <c r="J19" s="68"/>
      <c r="K19" s="70"/>
      <c r="L19" s="69"/>
      <c r="M19" s="70"/>
      <c r="N19" s="69"/>
      <c r="O19" s="69"/>
      <c r="P19" s="69"/>
      <c r="Q19" s="63"/>
      <c r="R19" s="63"/>
      <c r="S19" s="63"/>
      <c r="T19" s="63"/>
      <c r="U19" s="63"/>
      <c r="V19" s="63"/>
      <c r="W19" s="63"/>
    </row>
    <row r="20" spans="1:23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9"/>
      <c r="M20" s="69"/>
      <c r="N20" s="69"/>
      <c r="O20" s="69"/>
      <c r="P20" s="69"/>
      <c r="Q20" s="63"/>
      <c r="R20" s="63"/>
      <c r="S20" s="63"/>
      <c r="T20" s="63"/>
      <c r="U20" s="63"/>
      <c r="V20" s="63"/>
      <c r="W20" s="63"/>
    </row>
    <row r="21" spans="1:23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9"/>
      <c r="O21" s="69"/>
      <c r="P21" s="69"/>
      <c r="Q21" s="63"/>
      <c r="R21" s="63"/>
      <c r="S21" s="63"/>
      <c r="T21" s="63"/>
      <c r="U21" s="63"/>
      <c r="V21" s="63"/>
      <c r="W21" s="63"/>
    </row>
    <row r="22" spans="1:23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9"/>
      <c r="O22" s="69"/>
      <c r="P22" s="69"/>
      <c r="Q22" s="63"/>
      <c r="R22" s="63"/>
      <c r="S22" s="63"/>
      <c r="T22" s="63"/>
      <c r="U22" s="63"/>
      <c r="V22" s="63"/>
      <c r="W22" s="63"/>
    </row>
    <row r="23" spans="1:23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9"/>
      <c r="O23" s="69"/>
      <c r="P23" s="69"/>
      <c r="Q23" s="63"/>
      <c r="R23" s="63"/>
      <c r="S23" s="63"/>
      <c r="T23" s="63"/>
      <c r="U23" s="63"/>
      <c r="V23" s="63"/>
      <c r="W23" s="63"/>
    </row>
    <row r="24" spans="1:23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9"/>
      <c r="O24" s="69"/>
      <c r="P24" s="69"/>
      <c r="Q24" s="63"/>
      <c r="R24" s="63"/>
      <c r="S24" s="63"/>
      <c r="T24" s="63"/>
      <c r="U24" s="63"/>
      <c r="V24" s="63"/>
      <c r="W24" s="63"/>
    </row>
    <row r="25" spans="1:23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9"/>
      <c r="O25" s="69"/>
      <c r="P25" s="69"/>
      <c r="Q25" s="63"/>
      <c r="R25" s="63"/>
      <c r="S25" s="63"/>
      <c r="T25" s="63"/>
      <c r="U25" s="63"/>
      <c r="V25" s="63"/>
      <c r="W25" s="63"/>
    </row>
    <row r="26" spans="1:23">
      <c r="A26" s="30"/>
      <c r="B26" s="30"/>
      <c r="C26" s="29">
        <f>SUM(C15:C25)</f>
        <v>679.2699257288549</v>
      </c>
      <c r="D26" s="29"/>
      <c r="E26" s="29">
        <f>SUM(E15:E25)</f>
        <v>61276.939999999995</v>
      </c>
      <c r="F26" s="30"/>
      <c r="H26" s="68"/>
      <c r="I26" s="68"/>
      <c r="J26" s="68"/>
      <c r="K26" s="69"/>
      <c r="L26" s="69"/>
      <c r="M26" s="69"/>
      <c r="N26" s="69"/>
      <c r="O26" s="69"/>
      <c r="P26" s="69"/>
      <c r="Q26" s="63"/>
      <c r="R26" s="63"/>
      <c r="S26" s="63"/>
      <c r="T26" s="63"/>
      <c r="U26" s="63"/>
      <c r="V26" s="63"/>
      <c r="W26" s="63"/>
    </row>
    <row r="27" spans="1:23">
      <c r="H27" s="68"/>
      <c r="I27" s="68"/>
      <c r="J27" s="68"/>
      <c r="K27" s="69"/>
      <c r="L27" s="69"/>
      <c r="M27" s="69"/>
      <c r="N27" s="69"/>
      <c r="O27" s="69"/>
      <c r="P27" s="69"/>
      <c r="Q27" s="63"/>
      <c r="R27" s="63"/>
      <c r="S27" s="63"/>
      <c r="T27" s="63"/>
      <c r="U27" s="63"/>
      <c r="V27" s="63"/>
      <c r="W27" s="63"/>
    </row>
    <row r="28" spans="1:23">
      <c r="H28" s="68"/>
      <c r="I28" s="68"/>
      <c r="J28" s="68"/>
      <c r="K28" s="69"/>
      <c r="L28" s="69"/>
      <c r="M28" s="69"/>
      <c r="N28" s="69"/>
      <c r="O28" s="69"/>
      <c r="P28" s="69"/>
      <c r="Q28" s="63"/>
      <c r="R28" s="63"/>
      <c r="S28" s="63"/>
      <c r="T28" s="63"/>
      <c r="U28" s="63"/>
      <c r="V28" s="63"/>
      <c r="W28" s="63"/>
    </row>
    <row r="29" spans="1:23">
      <c r="H29" s="68"/>
      <c r="I29" s="68"/>
      <c r="J29" s="68"/>
      <c r="K29" s="69"/>
      <c r="L29" s="69"/>
      <c r="M29" s="69"/>
      <c r="N29" s="69"/>
      <c r="O29" s="69"/>
      <c r="P29" s="69"/>
      <c r="Q29" s="63"/>
      <c r="R29" s="63"/>
      <c r="S29" s="63"/>
      <c r="T29" s="63"/>
      <c r="U29" s="63"/>
      <c r="V29" s="63"/>
      <c r="W29" s="63"/>
    </row>
    <row r="30" spans="1:23">
      <c r="H30" s="68"/>
      <c r="I30" s="68"/>
      <c r="J30" s="68"/>
      <c r="K30" s="69"/>
      <c r="L30" s="69"/>
      <c r="M30" s="69"/>
      <c r="N30" s="69"/>
      <c r="O30" s="69"/>
      <c r="P30" s="69"/>
      <c r="Q30" s="63"/>
      <c r="R30" s="63"/>
      <c r="S30" s="63"/>
      <c r="T30" s="63"/>
      <c r="U30" s="63"/>
      <c r="V30" s="63"/>
      <c r="W30" s="63"/>
    </row>
    <row r="31" spans="1:23">
      <c r="H31" s="68"/>
      <c r="I31" s="68"/>
      <c r="J31" s="68"/>
      <c r="K31" s="69"/>
      <c r="L31" s="69"/>
      <c r="M31" s="69"/>
      <c r="N31" s="69"/>
      <c r="O31" s="69"/>
      <c r="P31" s="69"/>
      <c r="Q31" s="63"/>
      <c r="R31" s="63"/>
      <c r="S31" s="63"/>
      <c r="T31" s="63"/>
      <c r="U31" s="63"/>
      <c r="V31" s="63"/>
      <c r="W31" s="63"/>
    </row>
    <row r="32" spans="1:23">
      <c r="H32" s="68"/>
      <c r="I32" s="68"/>
      <c r="J32" s="68"/>
      <c r="K32" s="69"/>
      <c r="L32" s="69"/>
      <c r="M32" s="69"/>
      <c r="N32" s="69"/>
      <c r="O32" s="69"/>
      <c r="P32" s="69"/>
      <c r="Q32" s="63"/>
      <c r="R32" s="63"/>
      <c r="S32" s="63"/>
      <c r="T32" s="63"/>
      <c r="U32" s="63"/>
      <c r="V32" s="63"/>
      <c r="W32" s="63"/>
    </row>
    <row r="33" spans="8:23">
      <c r="H33" s="68"/>
      <c r="I33" s="68"/>
      <c r="J33" s="68"/>
      <c r="K33" s="69"/>
      <c r="L33" s="69"/>
      <c r="M33" s="69"/>
      <c r="N33" s="69"/>
      <c r="O33" s="69"/>
      <c r="P33" s="69"/>
      <c r="Q33" s="63"/>
      <c r="R33" s="63"/>
      <c r="S33" s="63"/>
      <c r="T33" s="63"/>
      <c r="U33" s="63"/>
      <c r="V33" s="63"/>
      <c r="W33" s="63"/>
    </row>
    <row r="34" spans="8:23">
      <c r="H34" s="68"/>
      <c r="I34" s="68"/>
      <c r="J34" s="68"/>
      <c r="K34" s="69"/>
      <c r="L34" s="69"/>
      <c r="M34" s="69"/>
      <c r="N34" s="69"/>
      <c r="O34" s="69"/>
      <c r="P34" s="69"/>
      <c r="Q34" s="63"/>
      <c r="R34" s="63"/>
      <c r="S34" s="63"/>
      <c r="T34" s="63"/>
      <c r="U34" s="63"/>
      <c r="V34" s="63"/>
      <c r="W34" s="63"/>
    </row>
    <row r="35" spans="8:23">
      <c r="H35" s="68"/>
      <c r="I35" s="68"/>
      <c r="J35" s="68"/>
      <c r="K35" s="69"/>
      <c r="L35" s="69"/>
      <c r="M35" s="69"/>
      <c r="N35" s="69"/>
      <c r="O35" s="69"/>
      <c r="P35" s="69"/>
      <c r="Q35" s="63"/>
      <c r="R35" s="63"/>
      <c r="S35" s="63"/>
      <c r="T35" s="63"/>
      <c r="U35" s="63"/>
      <c r="V35" s="63"/>
      <c r="W35" s="63"/>
    </row>
    <row r="36" spans="8:23">
      <c r="H36" s="68"/>
      <c r="I36" s="68"/>
      <c r="J36" s="68"/>
      <c r="K36" s="69"/>
      <c r="L36" s="69"/>
      <c r="M36" s="69"/>
      <c r="N36" s="69"/>
      <c r="O36" s="69"/>
      <c r="P36" s="69"/>
      <c r="Q36" s="63"/>
      <c r="R36" s="63"/>
      <c r="S36" s="63"/>
      <c r="T36" s="63"/>
      <c r="U36" s="63"/>
      <c r="V36" s="63"/>
      <c r="W36" s="63"/>
    </row>
    <row r="37" spans="8:23">
      <c r="H37" s="68"/>
      <c r="I37" s="68"/>
      <c r="J37" s="68"/>
      <c r="K37" s="69"/>
      <c r="L37" s="69"/>
      <c r="M37" s="69"/>
      <c r="N37" s="69"/>
      <c r="O37" s="69"/>
      <c r="P37" s="69"/>
      <c r="Q37" s="63"/>
      <c r="R37" s="63"/>
      <c r="S37" s="63"/>
      <c r="T37" s="63"/>
      <c r="U37" s="63"/>
      <c r="V37" s="63"/>
      <c r="W37" s="63"/>
    </row>
    <row r="38" spans="8:23">
      <c r="H38" s="68"/>
      <c r="I38" s="68"/>
      <c r="J38" s="68"/>
      <c r="K38" s="69"/>
      <c r="L38" s="69"/>
      <c r="M38" s="69"/>
      <c r="N38" s="69"/>
      <c r="O38" s="69"/>
      <c r="P38" s="69"/>
      <c r="Q38" s="63"/>
      <c r="R38" s="63"/>
      <c r="S38" s="63"/>
      <c r="T38" s="63"/>
      <c r="U38" s="63"/>
      <c r="V38" s="63"/>
      <c r="W38" s="63"/>
    </row>
    <row r="39" spans="8:23">
      <c r="H39" s="68"/>
      <c r="I39" s="68"/>
      <c r="J39" s="68"/>
      <c r="K39" s="69"/>
      <c r="L39" s="69"/>
      <c r="M39" s="69"/>
      <c r="N39" s="69"/>
      <c r="O39" s="69"/>
      <c r="P39" s="69"/>
      <c r="Q39" s="63"/>
      <c r="R39" s="63"/>
      <c r="S39" s="63"/>
      <c r="T39" s="63"/>
      <c r="U39" s="63"/>
      <c r="V39" s="63"/>
      <c r="W39" s="63"/>
    </row>
    <row r="40" spans="8:23"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 spans="8:23"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 spans="8:23"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 spans="8:23"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 spans="8:23"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 spans="8:23"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 spans="8:23"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 spans="8:23"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topLeftCell="A10" workbookViewId="0">
      <selection activeCell="J18" sqref="J18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484.03225806451616</v>
      </c>
    </row>
    <row r="4" spans="1:24" s="2" customFormat="1">
      <c r="A4" s="3" t="s">
        <v>14</v>
      </c>
      <c r="B4" s="12">
        <f>+(H13+H14+H15)/$C$4</f>
        <v>1819.7306847483528</v>
      </c>
      <c r="C4" s="4">
        <v>104.71</v>
      </c>
      <c r="D4" s="5">
        <f>B4*C4</f>
        <v>190544</v>
      </c>
      <c r="E4" s="6">
        <v>0</v>
      </c>
      <c r="F4" s="7">
        <f>+E4*C4</f>
        <v>0</v>
      </c>
      <c r="G4" s="9">
        <f>+(H8*60%)/$C$4</f>
        <v>334.78349727819693</v>
      </c>
      <c r="H4" s="7">
        <f>+G4*C4</f>
        <v>35055.18</v>
      </c>
      <c r="I4" s="6">
        <f>J4/C4</f>
        <v>0</v>
      </c>
      <c r="J4" s="7">
        <v>0</v>
      </c>
      <c r="K4" s="8">
        <f>+L8/$C$4</f>
        <v>213.86983096170377</v>
      </c>
      <c r="L4" s="7">
        <f>+K4*C4</f>
        <v>22394.31</v>
      </c>
      <c r="M4" s="9">
        <f>+(N8*60%)/$C$4</f>
        <v>490.73840129882535</v>
      </c>
      <c r="N4" s="7">
        <f>+M4*C4</f>
        <v>51385.218000000001</v>
      </c>
      <c r="O4" s="9"/>
      <c r="P4" s="7">
        <f>+O4*C4</f>
        <v>0</v>
      </c>
      <c r="Q4" s="6">
        <v>780.33895520962653</v>
      </c>
      <c r="R4" s="7">
        <f>+Q4*C4</f>
        <v>81709.291999999987</v>
      </c>
      <c r="S4" s="10">
        <f>+X4</f>
        <v>0</v>
      </c>
      <c r="T4" s="7">
        <f>+S4*C4</f>
        <v>0</v>
      </c>
      <c r="U4" s="11">
        <f>+B4-E4-G4-Q4-S4-K4-I4-M4-O4</f>
        <v>1.1368683772161603E-13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1704.334331005432</v>
      </c>
      <c r="C5" s="4">
        <v>90.21</v>
      </c>
      <c r="D5" s="5">
        <f>B5*C5</f>
        <v>153748</v>
      </c>
      <c r="E5" s="6">
        <v>0</v>
      </c>
      <c r="F5" s="7">
        <f>+E5*C5</f>
        <v>0</v>
      </c>
      <c r="G5" s="6">
        <f>+(H8*40%)/$C$5</f>
        <v>259.06351845693388</v>
      </c>
      <c r="H5" s="7">
        <f>+G5*C5</f>
        <v>23370.120000000003</v>
      </c>
      <c r="I5" s="6">
        <f>+J8/C5</f>
        <v>10.974393082806785</v>
      </c>
      <c r="J5" s="7">
        <f>+I5*C5</f>
        <v>990</v>
      </c>
      <c r="K5" s="6">
        <v>0</v>
      </c>
      <c r="L5" s="7">
        <f>+K5*C5</f>
        <v>0</v>
      </c>
      <c r="M5" s="6">
        <f>+(N8*40%)/$C$5</f>
        <v>379.74517237556813</v>
      </c>
      <c r="N5" s="7">
        <f>+M5*C5</f>
        <v>34256.811999999998</v>
      </c>
      <c r="O5" s="9">
        <f>+P8/C5</f>
        <v>0</v>
      </c>
      <c r="P5" s="7">
        <f>+O5*C5</f>
        <v>0</v>
      </c>
      <c r="Q5" s="6">
        <v>570.51898902560708</v>
      </c>
      <c r="R5" s="7">
        <f>+Q5*C5</f>
        <v>51466.518000000011</v>
      </c>
      <c r="S5" s="10">
        <f>+X3</f>
        <v>484.03225806451616</v>
      </c>
      <c r="T5" s="7">
        <f>+S5*C5</f>
        <v>43664.55</v>
      </c>
      <c r="U5" s="11">
        <f>+B5-E5-G5-Q5-S5-K5-I5-M5-O5</f>
        <v>-1.1368683772161603E-13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11.959219858156029</v>
      </c>
      <c r="C6" s="4">
        <v>112.8</v>
      </c>
      <c r="D6" s="5">
        <f>B6*C6</f>
        <v>1349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11.959219858156029</v>
      </c>
      <c r="R6" s="7">
        <f>+Q6*C6</f>
        <v>1349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3536.0242356119406</v>
      </c>
      <c r="C7" s="3"/>
      <c r="D7" s="13">
        <f t="shared" ref="D7:T7" si="0">SUM(D4:D6)</f>
        <v>345641</v>
      </c>
      <c r="E7" s="14">
        <f t="shared" si="0"/>
        <v>0</v>
      </c>
      <c r="F7" s="15">
        <f t="shared" si="0"/>
        <v>0</v>
      </c>
      <c r="G7" s="14">
        <f t="shared" si="0"/>
        <v>593.84701573513075</v>
      </c>
      <c r="H7" s="15">
        <f t="shared" si="0"/>
        <v>58425.3</v>
      </c>
      <c r="I7" s="14">
        <f t="shared" si="0"/>
        <v>10.974393082806785</v>
      </c>
      <c r="J7" s="15">
        <f t="shared" si="0"/>
        <v>990</v>
      </c>
      <c r="K7" s="14">
        <f t="shared" si="0"/>
        <v>213.86983096170377</v>
      </c>
      <c r="L7" s="15">
        <f t="shared" si="0"/>
        <v>22394.31</v>
      </c>
      <c r="M7" s="14">
        <f t="shared" si="0"/>
        <v>870.48357367439348</v>
      </c>
      <c r="N7" s="15">
        <f t="shared" si="0"/>
        <v>85642.03</v>
      </c>
      <c r="O7" s="14">
        <f t="shared" si="0"/>
        <v>0</v>
      </c>
      <c r="P7" s="15">
        <f t="shared" si="0"/>
        <v>0</v>
      </c>
      <c r="Q7" s="14">
        <f t="shared" si="0"/>
        <v>1362.8171640933897</v>
      </c>
      <c r="R7" s="15">
        <f t="shared" si="0"/>
        <v>134524.81</v>
      </c>
      <c r="S7" s="14">
        <f t="shared" si="0"/>
        <v>484.03225806451616</v>
      </c>
      <c r="T7" s="15">
        <f t="shared" si="0"/>
        <v>43664.55</v>
      </c>
      <c r="U7" s="11">
        <f>+B7-E7-G7-Q7-S7-K7-I7-M7-O7</f>
        <v>0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58425.3</v>
      </c>
      <c r="I8" s="18"/>
      <c r="J8" s="19">
        <v>990</v>
      </c>
      <c r="K8" s="18"/>
      <c r="L8" s="19">
        <v>22394.31</v>
      </c>
      <c r="M8" s="20"/>
      <c r="N8" s="19">
        <v>85642.03</v>
      </c>
      <c r="O8" s="20" t="s">
        <v>19</v>
      </c>
      <c r="P8" s="19">
        <v>0</v>
      </c>
      <c r="Q8" s="18">
        <v>0</v>
      </c>
      <c r="R8" s="19">
        <v>112924</v>
      </c>
      <c r="S8" s="18"/>
      <c r="T8" s="19">
        <v>65265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21600.809999999998</v>
      </c>
      <c r="S9" s="21"/>
      <c r="T9" s="22">
        <f>+T7-T8</f>
        <v>-21600.449999999997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0.36000000001513399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77026</v>
      </c>
      <c r="I13" s="36">
        <v>47124</v>
      </c>
      <c r="J13" s="60">
        <v>1349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113518</v>
      </c>
      <c r="I14" s="36">
        <v>31485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 spans="1:24">
      <c r="A15" s="33" t="s">
        <v>33</v>
      </c>
      <c r="B15" s="34" t="s">
        <v>13</v>
      </c>
      <c r="C15" s="29">
        <f t="shared" ref="C15:C25" si="1">+E15/D15</f>
        <v>456.42999667442638</v>
      </c>
      <c r="D15" s="30">
        <f t="shared" ref="D15:D25" si="2">+VLOOKUP(B15,A$4:C$6,3,0)</f>
        <v>90.21</v>
      </c>
      <c r="E15" s="42">
        <v>41174.550000000003</v>
      </c>
      <c r="F15" s="34">
        <v>22467</v>
      </c>
      <c r="H15" s="36"/>
      <c r="I15" s="36">
        <v>75139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 spans="1:24">
      <c r="A16" s="33" t="s">
        <v>35</v>
      </c>
      <c r="B16" s="34" t="s">
        <v>13</v>
      </c>
      <c r="C16" s="29">
        <f t="shared" si="1"/>
        <v>27.602261390089794</v>
      </c>
      <c r="D16" s="30">
        <f t="shared" si="2"/>
        <v>90.21</v>
      </c>
      <c r="E16" s="42">
        <v>2490</v>
      </c>
      <c r="F16" s="34">
        <v>22468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 spans="1:24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 spans="1:24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H18" s="68"/>
      <c r="I18" s="68"/>
      <c r="J18" s="68"/>
      <c r="K18" s="69"/>
      <c r="L18" s="69"/>
      <c r="M18" s="69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 spans="1:24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H19" s="68"/>
      <c r="I19" s="68"/>
      <c r="J19" s="68"/>
      <c r="K19" s="70"/>
      <c r="L19" s="69"/>
      <c r="M19" s="70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 spans="1:24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9"/>
      <c r="M20" s="69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 spans="1:24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 spans="1:24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 spans="1:24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 spans="1:24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 spans="1:24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 spans="1:24">
      <c r="A26" s="30"/>
      <c r="B26" s="30"/>
      <c r="C26" s="29">
        <f>SUM(C15:C25)</f>
        <v>484.03225806451616</v>
      </c>
      <c r="D26" s="29"/>
      <c r="E26" s="29">
        <f>SUM(E15:E25)</f>
        <v>43664.55</v>
      </c>
      <c r="F26" s="30"/>
      <c r="H26" s="68"/>
      <c r="I26" s="68"/>
      <c r="J26" s="68"/>
      <c r="K26" s="69"/>
      <c r="L26" s="69"/>
      <c r="M26" s="69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 spans="1:24">
      <c r="H27" s="68"/>
      <c r="I27" s="68"/>
      <c r="J27" s="68"/>
      <c r="K27" s="69"/>
      <c r="L27" s="69"/>
      <c r="M27" s="69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 spans="1:24">
      <c r="H28" s="68"/>
      <c r="I28" s="68"/>
      <c r="J28" s="68"/>
      <c r="K28" s="69"/>
      <c r="L28" s="69"/>
      <c r="M28" s="69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 spans="1:24">
      <c r="H29" s="68"/>
      <c r="I29" s="68"/>
      <c r="J29" s="68"/>
      <c r="K29" s="69"/>
      <c r="L29" s="69"/>
      <c r="M29" s="69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 spans="1:24">
      <c r="H30" s="68"/>
      <c r="I30" s="68"/>
      <c r="J30" s="68"/>
      <c r="K30" s="69"/>
      <c r="L30" s="69"/>
      <c r="M30" s="69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 spans="1:24">
      <c r="H31" s="68"/>
      <c r="I31" s="68"/>
      <c r="J31" s="68"/>
      <c r="K31" s="69"/>
      <c r="L31" s="69"/>
      <c r="M31" s="69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 spans="1:24">
      <c r="C32">
        <f>+C15+C16</f>
        <v>484.03225806451616</v>
      </c>
      <c r="H32" s="68"/>
      <c r="I32" s="68"/>
      <c r="J32" s="68"/>
      <c r="K32" s="69"/>
      <c r="L32" s="69"/>
      <c r="M32" s="69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 spans="8:24">
      <c r="H33" s="68"/>
      <c r="I33" s="68"/>
      <c r="J33" s="68"/>
      <c r="K33" s="69"/>
      <c r="L33" s="69"/>
      <c r="M33" s="69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 spans="8:24">
      <c r="H34" s="68"/>
      <c r="I34" s="68"/>
      <c r="J34" s="68"/>
      <c r="K34" s="69"/>
      <c r="L34" s="69"/>
      <c r="M34" s="69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 spans="8:24">
      <c r="H35" s="68"/>
      <c r="I35" s="68"/>
      <c r="J35" s="68"/>
      <c r="K35" s="69"/>
      <c r="L35" s="69"/>
      <c r="M35" s="69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 spans="8:24">
      <c r="H36" s="68"/>
      <c r="I36" s="68"/>
      <c r="J36" s="68"/>
      <c r="K36" s="69"/>
      <c r="L36" s="69"/>
      <c r="M36" s="69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 spans="8:24">
      <c r="H37" s="68"/>
      <c r="I37" s="68"/>
      <c r="J37" s="68"/>
      <c r="K37" s="69"/>
      <c r="L37" s="69"/>
      <c r="M37" s="69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 spans="8:24">
      <c r="H38" s="68"/>
      <c r="I38" s="68"/>
      <c r="J38" s="68"/>
      <c r="K38" s="69"/>
      <c r="L38" s="69"/>
      <c r="M38" s="69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 spans="8:24"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 spans="8:24"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 spans="8:24"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 spans="8:24"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 spans="8:24"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 spans="8:24"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 spans="8:24"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 spans="8:24"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 spans="8:24"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 spans="8:24"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 spans="5:24"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 spans="5:24">
      <c r="E50">
        <v>9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 spans="5:24"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 spans="5:24"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 spans="5:24"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 spans="5:24"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 spans="5:24"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50"/>
  <sheetViews>
    <sheetView topLeftCell="K1" workbookViewId="0">
      <selection activeCell="AC5" sqref="AC5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219.68063407604478</v>
      </c>
    </row>
    <row r="4" spans="1:24" s="2" customFormat="1">
      <c r="A4" s="3" t="s">
        <v>14</v>
      </c>
      <c r="B4" s="12">
        <f>+(H13+H14+H15)/$C$4</f>
        <v>1189.3324419826188</v>
      </c>
      <c r="C4" s="4">
        <v>104.71</v>
      </c>
      <c r="D4" s="5">
        <f>B4*C4</f>
        <v>124535</v>
      </c>
      <c r="E4" s="6">
        <v>0</v>
      </c>
      <c r="F4" s="7">
        <f>+E4*C4</f>
        <v>0</v>
      </c>
      <c r="G4" s="9">
        <f>+(H8*60%)/$C$4</f>
        <v>246.99125202941457</v>
      </c>
      <c r="H4" s="7">
        <f>+G4*C4</f>
        <v>25862.453999999998</v>
      </c>
      <c r="I4" s="6">
        <f>J4/C4</f>
        <v>0</v>
      </c>
      <c r="J4" s="7">
        <v>0</v>
      </c>
      <c r="K4" s="8">
        <f>+L8/$C$4</f>
        <v>2.4830484194441791</v>
      </c>
      <c r="L4" s="7">
        <f>+K4*C4</f>
        <v>260</v>
      </c>
      <c r="M4" s="9">
        <f>+(N8*60%)/$C$4</f>
        <v>351.5916340368637</v>
      </c>
      <c r="N4" s="7">
        <f>+M4*C4</f>
        <v>36815.159999999996</v>
      </c>
      <c r="O4" s="9"/>
      <c r="P4" s="7">
        <f>+O4*C4</f>
        <v>0</v>
      </c>
      <c r="Q4" s="6">
        <v>588.26650749689634</v>
      </c>
      <c r="R4" s="7">
        <f>+Q4*C4</f>
        <v>61597.386000000013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1117.6033699146437</v>
      </c>
      <c r="C5" s="4">
        <v>90.21</v>
      </c>
      <c r="D5" s="5">
        <f>B5*C5</f>
        <v>100819</v>
      </c>
      <c r="E5" s="6">
        <v>0</v>
      </c>
      <c r="F5" s="7">
        <f>+E5*C5</f>
        <v>0</v>
      </c>
      <c r="G5" s="6">
        <f>+(H8*40%)/$C$5</f>
        <v>191.12776854007316</v>
      </c>
      <c r="H5" s="7">
        <f>+G5*C5</f>
        <v>17241.635999999999</v>
      </c>
      <c r="I5" s="6">
        <f>+J8/C5</f>
        <v>6.76199977829509</v>
      </c>
      <c r="J5" s="7">
        <f>+I5*C5</f>
        <v>610</v>
      </c>
      <c r="K5" s="6">
        <v>0</v>
      </c>
      <c r="L5" s="7">
        <f>+K5*C5</f>
        <v>0</v>
      </c>
      <c r="M5" s="6">
        <f>+(N8*40%)/$C$5</f>
        <v>272.07005875180141</v>
      </c>
      <c r="N5" s="7">
        <f>+M5*C5</f>
        <v>24543.440000000002</v>
      </c>
      <c r="O5" s="9">
        <f>+P8/C5</f>
        <v>0</v>
      </c>
      <c r="P5" s="7">
        <f>+O5*C5</f>
        <v>0</v>
      </c>
      <c r="Q5" s="6">
        <v>427.96290876842932</v>
      </c>
      <c r="R5" s="7">
        <f>+Q5*C5</f>
        <v>38606.534000000007</v>
      </c>
      <c r="S5" s="10">
        <f>+X3</f>
        <v>219.68063407604478</v>
      </c>
      <c r="T5" s="7">
        <f>+S5*C5</f>
        <v>19817.39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130.58510638297872</v>
      </c>
      <c r="C6" s="4">
        <v>112.8</v>
      </c>
      <c r="D6" s="5">
        <f>B6*C6</f>
        <v>14730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130.58510638297872</v>
      </c>
      <c r="R6" s="7">
        <f>+Q6*C6</f>
        <v>14730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2437.5209182802409</v>
      </c>
      <c r="C7" s="3"/>
      <c r="D7" s="13">
        <f t="shared" ref="D7:T7" si="0">SUM(D4:D6)</f>
        <v>240084</v>
      </c>
      <c r="E7" s="14">
        <f t="shared" si="0"/>
        <v>0</v>
      </c>
      <c r="F7" s="15">
        <f t="shared" si="0"/>
        <v>0</v>
      </c>
      <c r="G7" s="14">
        <f t="shared" si="0"/>
        <v>438.1190205694877</v>
      </c>
      <c r="H7" s="15">
        <f t="shared" si="0"/>
        <v>43104.09</v>
      </c>
      <c r="I7" s="14">
        <f t="shared" si="0"/>
        <v>6.76199977829509</v>
      </c>
      <c r="J7" s="15">
        <f t="shared" si="0"/>
        <v>610</v>
      </c>
      <c r="K7" s="14">
        <f t="shared" si="0"/>
        <v>2.4830484194441791</v>
      </c>
      <c r="L7" s="15">
        <f t="shared" si="0"/>
        <v>260</v>
      </c>
      <c r="M7" s="14">
        <f t="shared" si="0"/>
        <v>623.66169278866505</v>
      </c>
      <c r="N7" s="15">
        <f t="shared" si="0"/>
        <v>61358.6</v>
      </c>
      <c r="O7" s="14">
        <f t="shared" si="0"/>
        <v>0</v>
      </c>
      <c r="P7" s="15">
        <f t="shared" si="0"/>
        <v>0</v>
      </c>
      <c r="Q7" s="14">
        <f t="shared" si="0"/>
        <v>1146.8145226483043</v>
      </c>
      <c r="R7" s="15">
        <f t="shared" si="0"/>
        <v>114933.92000000001</v>
      </c>
      <c r="S7" s="14">
        <f t="shared" si="0"/>
        <v>219.68063407604478</v>
      </c>
      <c r="T7" s="15">
        <f t="shared" si="0"/>
        <v>19817.39</v>
      </c>
      <c r="U7" s="11">
        <f>+B7-E7-G7-Q7-S7-K7-I7-M7-O7</f>
        <v>-1.1368683772161603E-13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43104.09</v>
      </c>
      <c r="I8" s="18"/>
      <c r="J8" s="19">
        <v>610</v>
      </c>
      <c r="K8" s="18"/>
      <c r="L8" s="19">
        <v>260</v>
      </c>
      <c r="M8" s="20"/>
      <c r="N8" s="19">
        <v>61358.6</v>
      </c>
      <c r="O8" s="20" t="s">
        <v>19</v>
      </c>
      <c r="P8" s="19">
        <v>0</v>
      </c>
      <c r="Q8" s="18">
        <v>0</v>
      </c>
      <c r="R8" s="19">
        <v>106374</v>
      </c>
      <c r="S8" s="18"/>
      <c r="T8" s="19">
        <v>28377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8559.9200000000128</v>
      </c>
      <c r="S9" s="21"/>
      <c r="T9" s="22">
        <f>+T7-T8</f>
        <v>-8559.61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0.31000000000494765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56636</v>
      </c>
      <c r="I13" s="36">
        <v>43567</v>
      </c>
      <c r="J13" s="60">
        <v>14730</v>
      </c>
      <c r="K13" s="63"/>
      <c r="L13" s="63"/>
      <c r="M13" s="63"/>
      <c r="N13" s="63"/>
      <c r="O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67899</v>
      </c>
      <c r="I14" s="36">
        <v>11440</v>
      </c>
      <c r="J14" s="60"/>
      <c r="K14" s="64"/>
      <c r="L14" s="64"/>
      <c r="M14" s="64"/>
      <c r="N14" s="63"/>
      <c r="O14" s="63"/>
    </row>
    <row r="15" spans="1:24">
      <c r="A15" s="33" t="s">
        <v>30</v>
      </c>
      <c r="B15" s="34" t="s">
        <v>13</v>
      </c>
      <c r="C15" s="29">
        <f t="shared" ref="C15:C25" si="1">+E15/D15</f>
        <v>219.68063407604478</v>
      </c>
      <c r="D15" s="30">
        <f t="shared" ref="D15:D25" si="2">+VLOOKUP(B15,A$4:C$6,3,0)</f>
        <v>90.21</v>
      </c>
      <c r="E15" s="42">
        <v>19817.39</v>
      </c>
      <c r="F15" s="34">
        <v>22469</v>
      </c>
      <c r="H15" s="36"/>
      <c r="I15" s="36">
        <v>45812</v>
      </c>
      <c r="J15" s="61"/>
      <c r="K15" s="65"/>
      <c r="L15" s="63"/>
      <c r="M15" s="63"/>
      <c r="N15" s="63"/>
      <c r="O15" s="63"/>
    </row>
    <row r="16" spans="1:24">
      <c r="A16" s="33"/>
      <c r="B16" s="34" t="s">
        <v>13</v>
      </c>
      <c r="C16" s="29">
        <f t="shared" si="1"/>
        <v>0</v>
      </c>
      <c r="D16" s="30">
        <f t="shared" si="2"/>
        <v>90.21</v>
      </c>
      <c r="E16" s="42"/>
      <c r="F16" s="34"/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</row>
    <row r="17" spans="1:15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</row>
    <row r="18" spans="1:15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H18" s="68"/>
      <c r="I18" s="68"/>
      <c r="J18" s="68"/>
      <c r="K18" s="69"/>
      <c r="L18" s="69"/>
      <c r="M18" s="69"/>
      <c r="N18" s="69"/>
      <c r="O18" s="63"/>
    </row>
    <row r="19" spans="1:15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H19" s="68"/>
      <c r="I19" s="68"/>
      <c r="J19" s="68"/>
      <c r="K19" s="70"/>
      <c r="L19" s="69"/>
      <c r="M19" s="70"/>
      <c r="N19" s="69"/>
      <c r="O19" s="63"/>
    </row>
    <row r="20" spans="1:15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9"/>
      <c r="M20" s="69"/>
      <c r="N20" s="69"/>
      <c r="O20" s="63"/>
    </row>
    <row r="21" spans="1:15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9"/>
      <c r="O21" s="63"/>
    </row>
    <row r="22" spans="1:15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9"/>
      <c r="O22" s="63"/>
    </row>
    <row r="23" spans="1:15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9"/>
      <c r="O23" s="63"/>
    </row>
    <row r="24" spans="1:15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9"/>
      <c r="O24" s="63"/>
    </row>
    <row r="25" spans="1:15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9"/>
      <c r="O25" s="63"/>
    </row>
    <row r="26" spans="1:15">
      <c r="A26" s="30"/>
      <c r="B26" s="30"/>
      <c r="C26" s="29">
        <f>SUM(C15:C25)</f>
        <v>219.68063407604478</v>
      </c>
      <c r="D26" s="29"/>
      <c r="E26" s="29">
        <f>SUM(E15:E25)</f>
        <v>19817.39</v>
      </c>
      <c r="F26" s="30"/>
      <c r="H26" s="68"/>
      <c r="I26" s="68"/>
      <c r="J26" s="68"/>
      <c r="K26" s="69"/>
      <c r="L26" s="69"/>
      <c r="M26" s="69"/>
      <c r="N26" s="69"/>
      <c r="O26" s="63"/>
    </row>
    <row r="27" spans="1:15">
      <c r="H27" s="68"/>
      <c r="I27" s="68"/>
      <c r="J27" s="68"/>
      <c r="K27" s="69"/>
      <c r="L27" s="69"/>
      <c r="M27" s="69"/>
      <c r="N27" s="69"/>
      <c r="O27" s="63"/>
    </row>
    <row r="28" spans="1:15">
      <c r="H28" s="68"/>
      <c r="I28" s="68"/>
      <c r="J28" s="68"/>
      <c r="K28" s="69"/>
      <c r="L28" s="69"/>
      <c r="M28" s="69"/>
      <c r="N28" s="69"/>
      <c r="O28" s="63"/>
    </row>
    <row r="29" spans="1:15">
      <c r="H29" s="68"/>
      <c r="I29" s="68"/>
      <c r="J29" s="68"/>
      <c r="K29" s="69"/>
      <c r="L29" s="69"/>
      <c r="M29" s="69"/>
      <c r="N29" s="69"/>
      <c r="O29" s="63"/>
    </row>
    <row r="30" spans="1:15">
      <c r="H30" s="68"/>
      <c r="I30" s="68"/>
      <c r="J30" s="68"/>
      <c r="K30" s="69"/>
      <c r="L30" s="69"/>
      <c r="M30" s="69"/>
      <c r="N30" s="69"/>
      <c r="O30" s="63"/>
    </row>
    <row r="32" spans="1:15">
      <c r="C32">
        <f>+C15+C16</f>
        <v>219.68063407604478</v>
      </c>
    </row>
    <row r="35" spans="8:8">
      <c r="H35" t="s">
        <v>32</v>
      </c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0"/>
  <sheetViews>
    <sheetView topLeftCell="J1" workbookViewId="0">
      <selection activeCell="AB1" sqref="AB1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305.45992683737944</v>
      </c>
    </row>
    <row r="4" spans="1:24" s="2" customFormat="1">
      <c r="A4" s="3" t="s">
        <v>14</v>
      </c>
      <c r="B4" s="12">
        <f>+(H13+H14+H15)/$C$4</f>
        <v>1646.0891987393754</v>
      </c>
      <c r="C4" s="4">
        <v>104.71</v>
      </c>
      <c r="D4" s="5">
        <f>B4*C4</f>
        <v>172362</v>
      </c>
      <c r="E4" s="6">
        <v>0</v>
      </c>
      <c r="F4" s="7">
        <f>+E4*C4</f>
        <v>0</v>
      </c>
      <c r="G4" s="9">
        <f>+(H8*60%)/$C$4</f>
        <v>403.00964568809087</v>
      </c>
      <c r="H4" s="7">
        <f>+G4*C4</f>
        <v>42199.139999999992</v>
      </c>
      <c r="I4" s="6">
        <f>J4/C4</f>
        <v>0</v>
      </c>
      <c r="J4" s="7">
        <v>0</v>
      </c>
      <c r="K4" s="8">
        <f>+L8/$C$4</f>
        <v>124.06045267882725</v>
      </c>
      <c r="L4" s="7">
        <f>+K4*C4</f>
        <v>12990.37</v>
      </c>
      <c r="M4" s="9">
        <f>+(N8*60%)/$C$4</f>
        <v>539.61625441696117</v>
      </c>
      <c r="N4" s="7">
        <f>+M4*C4</f>
        <v>56503.218000000001</v>
      </c>
      <c r="O4" s="9"/>
      <c r="P4" s="7">
        <f>+O4*C4</f>
        <v>0</v>
      </c>
      <c r="Q4" s="6">
        <v>579.40284595549622</v>
      </c>
      <c r="R4" s="7">
        <f>+Q4*C4</f>
        <v>60669.272000000004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1381.8423678084471</v>
      </c>
      <c r="C5" s="4">
        <v>90.21</v>
      </c>
      <c r="D5" s="5">
        <f>B5*C5</f>
        <v>124656</v>
      </c>
      <c r="E5" s="6">
        <v>0</v>
      </c>
      <c r="F5" s="7">
        <f>+E5*C5</f>
        <v>0</v>
      </c>
      <c r="G5" s="6">
        <f>+(H8*40%)/$C$5</f>
        <v>311.85855226693269</v>
      </c>
      <c r="H5" s="7">
        <f>+G5*C5</f>
        <v>28132.759999999995</v>
      </c>
      <c r="I5" s="6">
        <f>+J8/C5</f>
        <v>1.3302294645826407</v>
      </c>
      <c r="J5" s="7">
        <f>+I5*C5</f>
        <v>120.00000000000001</v>
      </c>
      <c r="K5" s="6">
        <v>0</v>
      </c>
      <c r="L5" s="7">
        <f>+K5*C5</f>
        <v>0</v>
      </c>
      <c r="M5" s="6">
        <f>+(N8*40%)/$C$5</f>
        <v>417.56803015186784</v>
      </c>
      <c r="N5" s="7">
        <f>+M5*C5</f>
        <v>37668.811999999998</v>
      </c>
      <c r="O5" s="9">
        <f>+P8/C5</f>
        <v>0</v>
      </c>
      <c r="P5" s="7">
        <f>+O5*C5</f>
        <v>0</v>
      </c>
      <c r="Q5" s="6">
        <v>345.62562908768433</v>
      </c>
      <c r="R5" s="7">
        <f>+Q5*C5</f>
        <v>31178.888000000003</v>
      </c>
      <c r="S5" s="10">
        <f>+X3</f>
        <v>305.45992683737944</v>
      </c>
      <c r="T5" s="7">
        <f>+S5*C5</f>
        <v>27555.539999999997</v>
      </c>
      <c r="U5" s="11">
        <f>+B5-E5-G5-Q5-S5-K5-I5-M5-O5</f>
        <v>1.1368683772161603E-13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50.638297872340424</v>
      </c>
      <c r="C6" s="4">
        <v>112.8</v>
      </c>
      <c r="D6" s="5">
        <f>B6*C6</f>
        <v>5712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50.638297872340424</v>
      </c>
      <c r="R6" s="7">
        <f>+Q6*C6</f>
        <v>5712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3078.569864420163</v>
      </c>
      <c r="C7" s="3"/>
      <c r="D7" s="13">
        <f t="shared" ref="D7:T7" si="0">SUM(D4:D6)</f>
        <v>302730</v>
      </c>
      <c r="E7" s="14">
        <f t="shared" si="0"/>
        <v>0</v>
      </c>
      <c r="F7" s="15">
        <f t="shared" si="0"/>
        <v>0</v>
      </c>
      <c r="G7" s="14">
        <f t="shared" si="0"/>
        <v>714.86819795502356</v>
      </c>
      <c r="H7" s="15">
        <f t="shared" si="0"/>
        <v>70331.899999999994</v>
      </c>
      <c r="I7" s="14">
        <f t="shared" si="0"/>
        <v>1.3302294645826407</v>
      </c>
      <c r="J7" s="15">
        <f t="shared" si="0"/>
        <v>120.00000000000001</v>
      </c>
      <c r="K7" s="14">
        <f t="shared" si="0"/>
        <v>124.06045267882725</v>
      </c>
      <c r="L7" s="15">
        <f t="shared" si="0"/>
        <v>12990.37</v>
      </c>
      <c r="M7" s="14">
        <f t="shared" si="0"/>
        <v>957.18428456882907</v>
      </c>
      <c r="N7" s="15">
        <f t="shared" si="0"/>
        <v>94172.03</v>
      </c>
      <c r="O7" s="14">
        <f t="shared" si="0"/>
        <v>0</v>
      </c>
      <c r="P7" s="15">
        <f t="shared" si="0"/>
        <v>0</v>
      </c>
      <c r="Q7" s="14">
        <f t="shared" si="0"/>
        <v>975.66677291552105</v>
      </c>
      <c r="R7" s="15">
        <f t="shared" si="0"/>
        <v>97560.16</v>
      </c>
      <c r="S7" s="14">
        <f t="shared" si="0"/>
        <v>305.45992683737944</v>
      </c>
      <c r="T7" s="15">
        <f t="shared" si="0"/>
        <v>27555.539999999997</v>
      </c>
      <c r="U7" s="11">
        <f>+B7-E7-G7-Q7-S7-K7-I7-M7-O7</f>
        <v>-3.4106051316484809E-13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70331.899999999994</v>
      </c>
      <c r="I8" s="18"/>
      <c r="J8" s="19">
        <v>120</v>
      </c>
      <c r="K8" s="18"/>
      <c r="L8" s="19">
        <v>12990.37</v>
      </c>
      <c r="M8" s="20"/>
      <c r="N8" s="19">
        <v>94172.03</v>
      </c>
      <c r="O8" s="20" t="s">
        <v>19</v>
      </c>
      <c r="P8" s="19">
        <v>0</v>
      </c>
      <c r="Q8" s="18">
        <v>0</v>
      </c>
      <c r="R8" s="19">
        <v>94979</v>
      </c>
      <c r="S8" s="18"/>
      <c r="T8" s="19">
        <v>30136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2581.1600000000035</v>
      </c>
      <c r="S9" s="21"/>
      <c r="T9" s="22">
        <f>+T7-T8</f>
        <v>-2580.4600000000028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0.70000000001164153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76784</v>
      </c>
      <c r="I13" s="36">
        <v>36344</v>
      </c>
      <c r="J13" s="60">
        <v>5712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95578</v>
      </c>
      <c r="I14" s="36">
        <v>40673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4">
      <c r="A15" s="33" t="s">
        <v>41</v>
      </c>
      <c r="B15" s="34" t="s">
        <v>13</v>
      </c>
      <c r="C15" s="29">
        <f t="shared" ref="C15:C25" si="1">+E15/D15</f>
        <v>266.04999445737724</v>
      </c>
      <c r="D15" s="30">
        <f t="shared" ref="D15:D25" si="2">+VLOOKUP(B15,A$4:C$6,3,0)</f>
        <v>90.21</v>
      </c>
      <c r="E15" s="42">
        <v>24000.37</v>
      </c>
      <c r="F15" s="34">
        <v>22472</v>
      </c>
      <c r="H15" s="36"/>
      <c r="I15" s="36">
        <v>47639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1:24">
      <c r="A16" s="33" t="s">
        <v>36</v>
      </c>
      <c r="B16" s="34" t="s">
        <v>13</v>
      </c>
      <c r="C16" s="29">
        <f t="shared" si="1"/>
        <v>39.409932380002218</v>
      </c>
      <c r="D16" s="30">
        <f t="shared" si="2"/>
        <v>90.21</v>
      </c>
      <c r="E16" s="42">
        <v>3555.17</v>
      </c>
      <c r="F16" s="34">
        <v>22473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1:23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1:23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H18" s="68"/>
      <c r="I18" s="68"/>
      <c r="J18" s="68"/>
      <c r="K18" s="69"/>
      <c r="L18" s="69"/>
      <c r="M18" s="69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 spans="1:23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H19" s="68"/>
      <c r="I19" s="68"/>
      <c r="J19" s="68"/>
      <c r="K19" s="70"/>
      <c r="L19" s="69"/>
      <c r="M19" s="70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 spans="1:23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H20" s="68"/>
      <c r="I20" s="68"/>
      <c r="J20" s="68"/>
      <c r="K20" s="70"/>
      <c r="L20" s="69"/>
      <c r="M20" s="69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 spans="1:23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 spans="1:23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 spans="1:23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 spans="1:23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 spans="1:23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 spans="1:23">
      <c r="A26" s="30"/>
      <c r="B26" s="30"/>
      <c r="C26" s="29">
        <f>SUM(C15:C25)</f>
        <v>305.45992683737944</v>
      </c>
      <c r="D26" s="29"/>
      <c r="E26" s="29">
        <f>SUM(E15:E25)</f>
        <v>27555.54</v>
      </c>
      <c r="F26" s="30"/>
      <c r="H26" s="68"/>
      <c r="I26" s="68"/>
      <c r="J26" s="68"/>
      <c r="K26" s="69"/>
      <c r="L26" s="69"/>
      <c r="M26" s="69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>
      <c r="H27" s="68"/>
      <c r="I27" s="68"/>
      <c r="J27" s="68"/>
      <c r="K27" s="69"/>
      <c r="L27" s="69"/>
      <c r="M27" s="69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 spans="1:23">
      <c r="H28" s="68"/>
      <c r="I28" s="68"/>
      <c r="J28" s="68"/>
      <c r="K28" s="69"/>
      <c r="L28" s="69"/>
      <c r="M28" s="69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 spans="1:23">
      <c r="H29" s="68"/>
      <c r="I29" s="68"/>
      <c r="J29" s="68"/>
      <c r="K29" s="69"/>
      <c r="L29" s="69"/>
      <c r="M29" s="69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 spans="1:23">
      <c r="H30" s="68"/>
      <c r="I30" s="68"/>
      <c r="J30" s="68"/>
      <c r="K30" s="69"/>
      <c r="L30" s="69"/>
      <c r="M30" s="69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 spans="1:23">
      <c r="H31" s="68"/>
      <c r="I31" s="68"/>
      <c r="J31" s="68"/>
      <c r="K31" s="69"/>
      <c r="L31" s="69"/>
      <c r="M31" s="69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 spans="1:23">
      <c r="C32">
        <f>+C15+C16</f>
        <v>305.45992683737944</v>
      </c>
      <c r="H32" s="68"/>
      <c r="I32" s="68"/>
      <c r="J32" s="68"/>
      <c r="K32" s="69"/>
      <c r="L32" s="69"/>
      <c r="M32" s="69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8:23">
      <c r="H33" s="68"/>
      <c r="I33" s="68"/>
      <c r="J33" s="68"/>
      <c r="K33" s="69"/>
      <c r="L33" s="69"/>
      <c r="M33" s="69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 spans="8:23">
      <c r="H34" s="68"/>
      <c r="I34" s="68"/>
      <c r="J34" s="68"/>
      <c r="K34" s="69"/>
      <c r="L34" s="69"/>
      <c r="M34" s="69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spans="8:23">
      <c r="H35" s="68"/>
      <c r="I35" s="68"/>
      <c r="J35" s="68"/>
      <c r="K35" s="69"/>
      <c r="L35" s="69"/>
      <c r="M35" s="69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spans="8:23">
      <c r="H36" s="68"/>
      <c r="I36" s="68"/>
      <c r="J36" s="68"/>
      <c r="K36" s="69"/>
      <c r="L36" s="69"/>
      <c r="M36" s="69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 spans="8:23">
      <c r="H37" s="68"/>
      <c r="I37" s="68"/>
      <c r="J37" s="68"/>
      <c r="K37" s="69"/>
      <c r="L37" s="69"/>
      <c r="M37" s="69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 spans="8:23"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 spans="8:23"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 spans="8:23"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 spans="8:23"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 spans="8:23"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 spans="8:23"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 spans="8:23"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50"/>
  <sheetViews>
    <sheetView topLeftCell="K1" workbookViewId="0">
      <selection activeCell="K2" sqref="K2:L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1021.7382773528434</v>
      </c>
    </row>
    <row r="4" spans="1:24" s="2" customFormat="1">
      <c r="A4" s="3" t="s">
        <v>14</v>
      </c>
      <c r="B4" s="12">
        <f>+(H13+H14+H15)/$C$4</f>
        <v>1232.3560309426034</v>
      </c>
      <c r="C4" s="4">
        <v>104.71</v>
      </c>
      <c r="D4" s="5">
        <f>B4*C4</f>
        <v>129040</v>
      </c>
      <c r="E4" s="6">
        <v>0</v>
      </c>
      <c r="F4" s="7">
        <f>+E4*C4</f>
        <v>0</v>
      </c>
      <c r="G4" s="9">
        <f>+(H8*60%)/$C$4</f>
        <v>251.29107057587626</v>
      </c>
      <c r="H4" s="7">
        <f>+G4*C4</f>
        <v>26312.688000000002</v>
      </c>
      <c r="I4" s="6">
        <f>J4/C4</f>
        <v>0</v>
      </c>
      <c r="J4" s="7">
        <v>0</v>
      </c>
      <c r="K4" s="8">
        <f>+L8/$C$4</f>
        <v>130.96170375322319</v>
      </c>
      <c r="L4" s="7">
        <f>+K4*C4</f>
        <v>13713</v>
      </c>
      <c r="M4" s="9">
        <f>+(N8*60%)/$C$4</f>
        <v>379.86893324419827</v>
      </c>
      <c r="N4" s="7">
        <f>+M4*C4</f>
        <v>39776.076000000001</v>
      </c>
      <c r="O4" s="9"/>
      <c r="P4" s="7">
        <f>+O4*C4</f>
        <v>0</v>
      </c>
      <c r="Q4" s="6">
        <v>470.23432336930568</v>
      </c>
      <c r="R4" s="7">
        <f>+Q4*C4</f>
        <v>49238.235999999997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2161.2459815984926</v>
      </c>
      <c r="C5" s="4">
        <v>90.21</v>
      </c>
      <c r="D5" s="5">
        <f>B5*C5</f>
        <v>194966</v>
      </c>
      <c r="E5" s="6">
        <v>0</v>
      </c>
      <c r="F5" s="7">
        <f>+E5*C5</f>
        <v>0</v>
      </c>
      <c r="G5" s="6">
        <f>+(H8*40%)/$C$5</f>
        <v>194.45507149983374</v>
      </c>
      <c r="H5" s="7">
        <f>+G5*C5</f>
        <v>17541.792000000001</v>
      </c>
      <c r="I5" s="6">
        <f>+J8/C5</f>
        <v>2.5496064737833946</v>
      </c>
      <c r="J5" s="7">
        <f>+I5*C5</f>
        <v>230</v>
      </c>
      <c r="K5" s="6">
        <v>0</v>
      </c>
      <c r="L5" s="7">
        <f>+K5*C5</f>
        <v>0</v>
      </c>
      <c r="M5" s="6">
        <f>+(N8*40%)/$C$5</f>
        <v>293.95171267043571</v>
      </c>
      <c r="N5" s="7">
        <f>+M5*C5</f>
        <v>26517.384000000005</v>
      </c>
      <c r="O5" s="9">
        <f>+P8/C5</f>
        <v>0</v>
      </c>
      <c r="P5" s="7">
        <f>+O5*C5</f>
        <v>0</v>
      </c>
      <c r="Q5" s="6">
        <v>648.55131360159635</v>
      </c>
      <c r="R5" s="7">
        <f>+Q5*C5</f>
        <v>58505.814000000006</v>
      </c>
      <c r="S5" s="10">
        <f>+X3</f>
        <v>1021.7382773528434</v>
      </c>
      <c r="T5" s="7">
        <f>+S5*C5</f>
        <v>92171.01</v>
      </c>
      <c r="U5" s="11">
        <f>+B5-E5-G5-Q5-S5-K5-I5-M5-O5</f>
        <v>-1.1368683772161603E-13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112.02127659574468</v>
      </c>
      <c r="C6" s="4">
        <v>112.8</v>
      </c>
      <c r="D6" s="5">
        <f>B6*C6</f>
        <v>12636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112.02127659574468</v>
      </c>
      <c r="R6" s="7">
        <f>+Q6*C6</f>
        <v>12636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3505.6232891368409</v>
      </c>
      <c r="C7" s="3"/>
      <c r="D7" s="13">
        <f t="shared" ref="D7:T7" si="0">SUM(D4:D6)</f>
        <v>336642</v>
      </c>
      <c r="E7" s="14">
        <f t="shared" si="0"/>
        <v>0</v>
      </c>
      <c r="F7" s="15">
        <f t="shared" si="0"/>
        <v>0</v>
      </c>
      <c r="G7" s="14">
        <f t="shared" si="0"/>
        <v>445.74614207571</v>
      </c>
      <c r="H7" s="15">
        <f t="shared" si="0"/>
        <v>43854.48</v>
      </c>
      <c r="I7" s="14">
        <f t="shared" si="0"/>
        <v>2.5496064737833946</v>
      </c>
      <c r="J7" s="15">
        <f t="shared" si="0"/>
        <v>230</v>
      </c>
      <c r="K7" s="14">
        <f t="shared" si="0"/>
        <v>130.96170375322319</v>
      </c>
      <c r="L7" s="15">
        <f t="shared" si="0"/>
        <v>13713</v>
      </c>
      <c r="M7" s="14">
        <f t="shared" si="0"/>
        <v>673.82064591463404</v>
      </c>
      <c r="N7" s="15">
        <f t="shared" si="0"/>
        <v>66293.460000000006</v>
      </c>
      <c r="O7" s="14">
        <f t="shared" si="0"/>
        <v>0</v>
      </c>
      <c r="P7" s="15">
        <f t="shared" si="0"/>
        <v>0</v>
      </c>
      <c r="Q7" s="14">
        <f t="shared" si="0"/>
        <v>1230.8069135666467</v>
      </c>
      <c r="R7" s="15">
        <f t="shared" si="0"/>
        <v>120380.05</v>
      </c>
      <c r="S7" s="14">
        <f t="shared" si="0"/>
        <v>1021.7382773528434</v>
      </c>
      <c r="T7" s="15">
        <f t="shared" si="0"/>
        <v>92171.01</v>
      </c>
      <c r="U7" s="11">
        <f>+B7-E7-G7-Q7-S7-K7-I7-M7-O7</f>
        <v>2.2737367544323206E-13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43854.48</v>
      </c>
      <c r="I8" s="18"/>
      <c r="J8" s="19">
        <v>230</v>
      </c>
      <c r="K8" s="18"/>
      <c r="L8" s="19">
        <v>13713</v>
      </c>
      <c r="M8" s="20"/>
      <c r="N8" s="19">
        <v>66293.460000000006</v>
      </c>
      <c r="O8" s="20" t="s">
        <v>19</v>
      </c>
      <c r="P8" s="19">
        <v>0</v>
      </c>
      <c r="Q8" s="18">
        <v>0</v>
      </c>
      <c r="R8" s="19">
        <v>116901</v>
      </c>
      <c r="S8" s="18"/>
      <c r="T8" s="19">
        <v>95650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3479.0500000000029</v>
      </c>
      <c r="S9" s="21"/>
      <c r="T9" s="22">
        <f>+T7-T8</f>
        <v>-3478.9900000000052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75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6.0000000012223609E-2</v>
      </c>
      <c r="F11" s="28"/>
      <c r="K11" s="63"/>
      <c r="L11" s="63"/>
      <c r="M11" s="65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 spans="1:24">
      <c r="F12" s="28"/>
      <c r="G12" s="28"/>
      <c r="H12" s="29" t="s">
        <v>14</v>
      </c>
      <c r="I12" s="29" t="s">
        <v>16</v>
      </c>
      <c r="J12" s="73" t="s">
        <v>22</v>
      </c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 spans="1:24">
      <c r="A13" s="58" t="s">
        <v>23</v>
      </c>
      <c r="B13" s="59"/>
      <c r="C13" s="59"/>
      <c r="D13" s="59"/>
      <c r="E13" s="59"/>
      <c r="F13" s="57"/>
      <c r="H13" s="30">
        <v>51538</v>
      </c>
      <c r="I13" s="36">
        <v>109927</v>
      </c>
      <c r="J13" s="60">
        <v>12636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77502</v>
      </c>
      <c r="I14" s="36">
        <v>41556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4">
      <c r="A15" s="33" t="s">
        <v>33</v>
      </c>
      <c r="B15" s="34" t="s">
        <v>13</v>
      </c>
      <c r="C15" s="29">
        <f t="shared" ref="C15:C25" si="1">+E15/D15</f>
        <v>219.3991796918302</v>
      </c>
      <c r="D15" s="30">
        <f t="shared" ref="D15:D25" si="2">+VLOOKUP(B15,A$4:C$6,3,0)</f>
        <v>90.21</v>
      </c>
      <c r="E15" s="42">
        <v>19792</v>
      </c>
      <c r="F15" s="34">
        <v>22475</v>
      </c>
      <c r="H15" s="36"/>
      <c r="I15" s="36">
        <v>43483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1:24">
      <c r="A16" s="33" t="s">
        <v>33</v>
      </c>
      <c r="B16" s="34" t="s">
        <v>13</v>
      </c>
      <c r="C16" s="29">
        <f t="shared" si="1"/>
        <v>221.70491076377343</v>
      </c>
      <c r="D16" s="30">
        <f t="shared" si="2"/>
        <v>90.21</v>
      </c>
      <c r="E16" s="42">
        <v>20000</v>
      </c>
      <c r="F16" s="34">
        <v>22476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1:23">
      <c r="A17" s="33" t="s">
        <v>30</v>
      </c>
      <c r="B17" s="34" t="s">
        <v>13</v>
      </c>
      <c r="C17" s="29">
        <f t="shared" si="1"/>
        <v>237.62986365147989</v>
      </c>
      <c r="D17" s="30">
        <f t="shared" si="2"/>
        <v>90.21</v>
      </c>
      <c r="E17" s="44">
        <v>21436.59</v>
      </c>
      <c r="F17" s="34">
        <v>22477</v>
      </c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1:23">
      <c r="A18" s="33" t="s">
        <v>40</v>
      </c>
      <c r="B18" s="34" t="s">
        <v>13</v>
      </c>
      <c r="C18" s="29">
        <f t="shared" si="1"/>
        <v>142.34996120164061</v>
      </c>
      <c r="D18" s="30">
        <f t="shared" si="2"/>
        <v>90.21</v>
      </c>
      <c r="E18" s="44">
        <v>12841.39</v>
      </c>
      <c r="F18" s="34">
        <v>22478</v>
      </c>
      <c r="H18" s="68"/>
      <c r="I18" s="68"/>
      <c r="J18" s="68"/>
      <c r="K18" s="69"/>
      <c r="L18" s="69"/>
      <c r="M18" s="69"/>
      <c r="N18" s="69"/>
      <c r="O18" s="69"/>
      <c r="P18" s="63"/>
      <c r="Q18" s="63"/>
      <c r="R18" s="63"/>
      <c r="S18" s="63"/>
      <c r="T18" s="63"/>
      <c r="U18" s="63"/>
      <c r="V18" s="63"/>
      <c r="W18" s="63"/>
    </row>
    <row r="19" spans="1:23">
      <c r="A19" s="33" t="s">
        <v>41</v>
      </c>
      <c r="B19" s="34" t="s">
        <v>13</v>
      </c>
      <c r="C19" s="29">
        <f t="shared" si="1"/>
        <v>155.19997782950892</v>
      </c>
      <c r="D19" s="30">
        <f t="shared" si="2"/>
        <v>90.21</v>
      </c>
      <c r="E19" s="44">
        <v>14000.59</v>
      </c>
      <c r="F19" s="39">
        <v>22479</v>
      </c>
      <c r="H19" s="68"/>
      <c r="I19" s="68"/>
      <c r="J19" s="68"/>
      <c r="K19" s="70"/>
      <c r="L19" s="69"/>
      <c r="M19" s="70"/>
      <c r="N19" s="69"/>
      <c r="O19" s="69"/>
      <c r="P19" s="63"/>
      <c r="Q19" s="63"/>
      <c r="R19" s="63"/>
      <c r="S19" s="63"/>
      <c r="T19" s="63"/>
      <c r="U19" s="63"/>
      <c r="V19" s="63"/>
      <c r="W19" s="63"/>
    </row>
    <row r="20" spans="1:23">
      <c r="A20" s="33" t="s">
        <v>30</v>
      </c>
      <c r="B20" s="34" t="s">
        <v>13</v>
      </c>
      <c r="C20" s="29">
        <f t="shared" si="1"/>
        <v>45.45438421461035</v>
      </c>
      <c r="D20" s="30">
        <f t="shared" si="2"/>
        <v>90.21</v>
      </c>
      <c r="E20" s="44">
        <v>4100.4399999999996</v>
      </c>
      <c r="F20" s="30">
        <v>22480</v>
      </c>
      <c r="H20" s="68"/>
      <c r="I20" s="68"/>
      <c r="J20" s="68"/>
      <c r="K20" s="70"/>
      <c r="L20" s="69"/>
      <c r="M20" s="69"/>
      <c r="N20" s="69"/>
      <c r="O20" s="69"/>
      <c r="P20" s="63"/>
      <c r="Q20" s="63"/>
      <c r="R20" s="63"/>
      <c r="S20" s="63"/>
      <c r="T20" s="63"/>
      <c r="U20" s="63"/>
      <c r="V20" s="63"/>
      <c r="W20" s="63"/>
    </row>
    <row r="21" spans="1:23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9"/>
      <c r="O21" s="69"/>
      <c r="P21" s="63"/>
      <c r="Q21" s="63"/>
      <c r="R21" s="63"/>
      <c r="S21" s="63"/>
      <c r="T21" s="63"/>
      <c r="U21" s="63"/>
      <c r="V21" s="63"/>
      <c r="W21" s="63"/>
    </row>
    <row r="22" spans="1:23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9"/>
      <c r="O22" s="69"/>
      <c r="P22" s="63"/>
      <c r="Q22" s="63"/>
      <c r="R22" s="63"/>
      <c r="S22" s="63"/>
      <c r="T22" s="63"/>
      <c r="U22" s="63"/>
      <c r="V22" s="63"/>
      <c r="W22" s="63"/>
    </row>
    <row r="23" spans="1:23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9"/>
      <c r="O23" s="69"/>
      <c r="P23" s="63"/>
      <c r="Q23" s="63"/>
      <c r="R23" s="63"/>
      <c r="S23" s="63"/>
      <c r="T23" s="63"/>
      <c r="U23" s="63"/>
      <c r="V23" s="63"/>
      <c r="W23" s="63"/>
    </row>
    <row r="24" spans="1:23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9"/>
      <c r="O24" s="69"/>
      <c r="P24" s="63"/>
      <c r="Q24" s="63"/>
      <c r="R24" s="63"/>
      <c r="S24" s="63"/>
      <c r="T24" s="63"/>
      <c r="U24" s="63"/>
      <c r="V24" s="63"/>
      <c r="W24" s="63"/>
    </row>
    <row r="25" spans="1:23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9"/>
      <c r="O25" s="69"/>
      <c r="P25" s="63"/>
      <c r="Q25" s="63"/>
      <c r="R25" s="63"/>
      <c r="S25" s="63"/>
      <c r="T25" s="63"/>
      <c r="U25" s="63"/>
      <c r="V25" s="63"/>
      <c r="W25" s="63"/>
    </row>
    <row r="26" spans="1:23">
      <c r="A26" s="30"/>
      <c r="B26" s="30"/>
      <c r="C26" s="29">
        <f>SUM(C15:C25)</f>
        <v>1021.7382773528434</v>
      </c>
      <c r="D26" s="29"/>
      <c r="E26" s="29">
        <f>SUM(E15:E25)</f>
        <v>92171.01</v>
      </c>
      <c r="F26" s="30"/>
      <c r="H26" s="68"/>
      <c r="I26" s="68"/>
      <c r="J26" s="68"/>
      <c r="K26" s="69"/>
      <c r="L26" s="69"/>
      <c r="M26" s="69"/>
      <c r="N26" s="69"/>
      <c r="O26" s="69"/>
      <c r="P26" s="63"/>
      <c r="Q26" s="63"/>
      <c r="R26" s="63"/>
      <c r="S26" s="63"/>
      <c r="T26" s="63"/>
      <c r="U26" s="63"/>
      <c r="V26" s="63"/>
      <c r="W26" s="63"/>
    </row>
    <row r="27" spans="1:23">
      <c r="H27" s="68"/>
      <c r="I27" s="68"/>
      <c r="J27" s="68"/>
      <c r="K27" s="69"/>
      <c r="L27" s="69"/>
      <c r="M27" s="69"/>
      <c r="N27" s="69"/>
      <c r="O27" s="69"/>
      <c r="P27" s="63"/>
      <c r="Q27" s="63"/>
      <c r="R27" s="63"/>
      <c r="S27" s="63"/>
      <c r="T27" s="63"/>
      <c r="U27" s="63"/>
      <c r="V27" s="63"/>
      <c r="W27" s="63"/>
    </row>
    <row r="28" spans="1:23">
      <c r="H28" s="68"/>
      <c r="I28" s="68"/>
      <c r="J28" s="68"/>
      <c r="K28" s="69"/>
      <c r="L28" s="69"/>
      <c r="M28" s="69"/>
      <c r="N28" s="69"/>
      <c r="O28" s="69"/>
      <c r="P28" s="63"/>
      <c r="Q28" s="63"/>
      <c r="R28" s="63"/>
      <c r="S28" s="63"/>
      <c r="T28" s="63"/>
      <c r="U28" s="63"/>
      <c r="V28" s="63"/>
      <c r="W28" s="63"/>
    </row>
    <row r="29" spans="1:23">
      <c r="H29" s="68"/>
      <c r="I29" s="68"/>
      <c r="J29" s="68"/>
      <c r="K29" s="69"/>
      <c r="L29" s="69"/>
      <c r="M29" s="69"/>
      <c r="N29" s="69"/>
      <c r="O29" s="69"/>
      <c r="P29" s="63"/>
      <c r="Q29" s="63"/>
      <c r="R29" s="63"/>
      <c r="S29" s="63"/>
      <c r="T29" s="63"/>
      <c r="U29" s="63"/>
      <c r="V29" s="63"/>
      <c r="W29" s="63"/>
    </row>
    <row r="30" spans="1:23">
      <c r="H30" s="68"/>
      <c r="I30" s="68"/>
      <c r="J30" s="68"/>
      <c r="K30" s="69"/>
      <c r="L30" s="69"/>
      <c r="M30" s="69"/>
      <c r="N30" s="69"/>
      <c r="O30" s="69"/>
      <c r="P30" s="63"/>
      <c r="Q30" s="63"/>
      <c r="R30" s="63"/>
      <c r="S30" s="63"/>
      <c r="T30" s="63"/>
      <c r="U30" s="63"/>
      <c r="V30" s="63"/>
      <c r="W30" s="63"/>
    </row>
    <row r="31" spans="1:23">
      <c r="H31" s="68"/>
      <c r="I31" s="68"/>
      <c r="J31" s="68"/>
      <c r="K31" s="69"/>
      <c r="L31" s="69"/>
      <c r="M31" s="69"/>
      <c r="N31" s="69"/>
      <c r="O31" s="69"/>
      <c r="P31" s="63"/>
      <c r="Q31" s="63"/>
      <c r="R31" s="63"/>
      <c r="S31" s="63"/>
      <c r="T31" s="63"/>
      <c r="U31" s="63"/>
      <c r="V31" s="63"/>
      <c r="W31" s="63"/>
    </row>
    <row r="32" spans="1:23">
      <c r="C32">
        <f>+C15+C16</f>
        <v>441.10409045560363</v>
      </c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8:23"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 spans="8:23"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spans="8:23">
      <c r="H35" t="s">
        <v>32</v>
      </c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spans="8:23"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 spans="8:23"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 spans="8:23"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 spans="8:23"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 spans="8:23"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 spans="8:23"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 spans="8:23"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 spans="8:23"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 spans="8:23"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 spans="8:23"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 spans="8:23"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0"/>
  <sheetViews>
    <sheetView topLeftCell="S1" workbookViewId="0">
      <selection activeCell="AA2" sqref="AA2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947.82851125152433</v>
      </c>
    </row>
    <row r="4" spans="1:24" s="2" customFormat="1">
      <c r="A4" s="3" t="s">
        <v>14</v>
      </c>
      <c r="B4" s="12">
        <f>+(H13+H14+H15)/$C$4</f>
        <v>1309.6361379046891</v>
      </c>
      <c r="C4" s="4">
        <v>104.71</v>
      </c>
      <c r="D4" s="5">
        <f>B4*C4</f>
        <v>137132</v>
      </c>
      <c r="E4" s="6">
        <v>0</v>
      </c>
      <c r="F4" s="7">
        <f>+E4*C4</f>
        <v>0</v>
      </c>
      <c r="G4" s="9">
        <f>+(H8*60%)/$C$4</f>
        <v>257.91760099321937</v>
      </c>
      <c r="H4" s="7">
        <f>+G4*C4</f>
        <v>27006.552</v>
      </c>
      <c r="I4" s="6">
        <f>J4/C4</f>
        <v>0</v>
      </c>
      <c r="J4" s="7">
        <v>0</v>
      </c>
      <c r="K4" s="8">
        <f>+L8/$C$4</f>
        <v>66.851303600420209</v>
      </c>
      <c r="L4" s="7">
        <f>+K4*C4</f>
        <v>7000</v>
      </c>
      <c r="M4" s="9">
        <f>+(N8*60%)/$C$4</f>
        <v>521.01493649126155</v>
      </c>
      <c r="N4" s="7">
        <f>+M4*C4</f>
        <v>54555.473999999995</v>
      </c>
      <c r="O4" s="9"/>
      <c r="P4" s="7">
        <f>+O4*C4</f>
        <v>0</v>
      </c>
      <c r="Q4" s="6">
        <v>463.85229681978797</v>
      </c>
      <c r="R4" s="7">
        <f>+Q4*C4</f>
        <v>48569.973999999995</v>
      </c>
      <c r="S4" s="10">
        <f>+X4</f>
        <v>0</v>
      </c>
      <c r="T4" s="7">
        <f>+S4*C4</f>
        <v>0</v>
      </c>
      <c r="U4" s="11">
        <f>+B4-E4-G4-Q4-S4-K4-I4-M4-O4</f>
        <v>0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2453.1094113734621</v>
      </c>
      <c r="C5" s="4">
        <v>90.21</v>
      </c>
      <c r="D5" s="5">
        <f>B5*C5</f>
        <v>221295</v>
      </c>
      <c r="E5" s="6">
        <v>0</v>
      </c>
      <c r="F5" s="7">
        <f>+E5*C5</f>
        <v>0</v>
      </c>
      <c r="G5" s="6">
        <f>+(H8*40%)/$C$5</f>
        <v>199.58284003990687</v>
      </c>
      <c r="H5" s="7">
        <f>+G5*C5</f>
        <v>18004.367999999999</v>
      </c>
      <c r="I5" s="6">
        <f>+J8/C5</f>
        <v>66.511473229132037</v>
      </c>
      <c r="J5" s="7">
        <f>+I5*C5</f>
        <v>6000.0000000000009</v>
      </c>
      <c r="K5" s="6">
        <v>0</v>
      </c>
      <c r="L5" s="7">
        <f>+K5*C5</f>
        <v>0</v>
      </c>
      <c r="M5" s="6">
        <f>+(N8*40%)/$C$5</f>
        <v>403.17388316151204</v>
      </c>
      <c r="N5" s="7">
        <f>+M5*C5</f>
        <v>36370.315999999999</v>
      </c>
      <c r="O5" s="9">
        <f>+P8/C5</f>
        <v>0</v>
      </c>
      <c r="P5" s="7">
        <f>+O5*C5</f>
        <v>0</v>
      </c>
      <c r="Q5" s="6">
        <v>836.01270369138683</v>
      </c>
      <c r="R5" s="7">
        <f>+Q5*C5</f>
        <v>75416.706000000006</v>
      </c>
      <c r="S5" s="10">
        <f>+X3</f>
        <v>947.82851125152433</v>
      </c>
      <c r="T5" s="7">
        <f>+S5*C5</f>
        <v>85503.61</v>
      </c>
      <c r="U5" s="11">
        <f>+B5-E5-G5-Q5-S5-K5-I5-M5-O5</f>
        <v>0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89.751773049645394</v>
      </c>
      <c r="C6" s="4">
        <v>112.8</v>
      </c>
      <c r="D6" s="5">
        <f>B6*C6</f>
        <v>10124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89.751773049645394</v>
      </c>
      <c r="R6" s="7">
        <f>+Q6*C6</f>
        <v>10124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3852.4973223277962</v>
      </c>
      <c r="C7" s="3"/>
      <c r="D7" s="13">
        <f t="shared" ref="D7:T7" si="0">SUM(D4:D6)</f>
        <v>368551</v>
      </c>
      <c r="E7" s="14">
        <f t="shared" si="0"/>
        <v>0</v>
      </c>
      <c r="F7" s="15">
        <f t="shared" si="0"/>
        <v>0</v>
      </c>
      <c r="G7" s="14">
        <f t="shared" si="0"/>
        <v>457.50044103312621</v>
      </c>
      <c r="H7" s="15">
        <f t="shared" si="0"/>
        <v>45010.92</v>
      </c>
      <c r="I7" s="14">
        <f t="shared" si="0"/>
        <v>66.511473229132037</v>
      </c>
      <c r="J7" s="15">
        <f t="shared" si="0"/>
        <v>6000.0000000000009</v>
      </c>
      <c r="K7" s="14">
        <f t="shared" si="0"/>
        <v>66.851303600420209</v>
      </c>
      <c r="L7" s="15">
        <f t="shared" si="0"/>
        <v>7000</v>
      </c>
      <c r="M7" s="14">
        <f t="shared" si="0"/>
        <v>924.18881965277365</v>
      </c>
      <c r="N7" s="15">
        <f t="shared" si="0"/>
        <v>90925.79</v>
      </c>
      <c r="O7" s="14">
        <f t="shared" si="0"/>
        <v>0</v>
      </c>
      <c r="P7" s="15">
        <f t="shared" si="0"/>
        <v>0</v>
      </c>
      <c r="Q7" s="14">
        <f t="shared" si="0"/>
        <v>1389.6167735608203</v>
      </c>
      <c r="R7" s="15">
        <f t="shared" si="0"/>
        <v>134110.68</v>
      </c>
      <c r="S7" s="14">
        <f t="shared" si="0"/>
        <v>947.82851125152433</v>
      </c>
      <c r="T7" s="15">
        <f t="shared" si="0"/>
        <v>85503.61</v>
      </c>
      <c r="U7" s="11">
        <f>+B7-E7-G7-Q7-S7-K7-I7-M7-O7</f>
        <v>-6.8212102632969618E-13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45010.92</v>
      </c>
      <c r="I8" s="18"/>
      <c r="J8" s="19">
        <v>6000</v>
      </c>
      <c r="K8" s="18"/>
      <c r="L8" s="19">
        <v>7000</v>
      </c>
      <c r="M8" s="20"/>
      <c r="N8" s="19">
        <v>90925.79</v>
      </c>
      <c r="O8" s="20" t="s">
        <v>19</v>
      </c>
      <c r="P8" s="19">
        <v>0</v>
      </c>
      <c r="Q8" s="18">
        <v>0</v>
      </c>
      <c r="R8" s="19">
        <v>99608</v>
      </c>
      <c r="S8" s="18"/>
      <c r="T8" s="19">
        <v>120005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34502.679999999993</v>
      </c>
      <c r="S9" s="21"/>
      <c r="T9" s="22">
        <f>+T7-T8</f>
        <v>-34501.39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1.290000000022701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66778</v>
      </c>
      <c r="I13" s="36">
        <v>95653</v>
      </c>
      <c r="J13" s="60">
        <v>10124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70354</v>
      </c>
      <c r="I14" s="36">
        <v>69490</v>
      </c>
      <c r="J14" s="60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4">
      <c r="A15" s="33" t="s">
        <v>39</v>
      </c>
      <c r="B15" s="34" t="s">
        <v>13</v>
      </c>
      <c r="C15" s="29">
        <f t="shared" ref="C15:C25" si="1">+E15/D15</f>
        <v>60.000997672098435</v>
      </c>
      <c r="D15" s="30">
        <f t="shared" ref="D15:D25" si="2">+VLOOKUP(B15,A$4:C$6,3,0)</f>
        <v>90.21</v>
      </c>
      <c r="E15" s="42">
        <v>5412.69</v>
      </c>
      <c r="F15" s="34">
        <v>22481</v>
      </c>
      <c r="H15" s="36"/>
      <c r="I15" s="36">
        <v>56152</v>
      </c>
      <c r="J15" s="61"/>
      <c r="K15" s="65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1:24">
      <c r="A16" s="33" t="s">
        <v>33</v>
      </c>
      <c r="B16" s="34" t="s">
        <v>13</v>
      </c>
      <c r="C16" s="29">
        <f t="shared" si="1"/>
        <v>227.25074825407384</v>
      </c>
      <c r="D16" s="30">
        <f t="shared" si="2"/>
        <v>90.21</v>
      </c>
      <c r="E16" s="42">
        <v>20500.29</v>
      </c>
      <c r="F16" s="34">
        <v>22482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1:23">
      <c r="A17" s="33" t="s">
        <v>36</v>
      </c>
      <c r="B17" s="34" t="s">
        <v>13</v>
      </c>
      <c r="C17" s="29">
        <f t="shared" si="1"/>
        <v>39.360270479991136</v>
      </c>
      <c r="D17" s="30">
        <f t="shared" si="2"/>
        <v>90.21</v>
      </c>
      <c r="E17" s="44">
        <v>3550.69</v>
      </c>
      <c r="F17" s="34">
        <v>22483</v>
      </c>
      <c r="H17" s="28"/>
      <c r="K17" s="65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1:23">
      <c r="A18" s="33" t="s">
        <v>41</v>
      </c>
      <c r="B18" s="34" t="s">
        <v>13</v>
      </c>
      <c r="C18" s="29">
        <f t="shared" si="1"/>
        <v>39.235894025052659</v>
      </c>
      <c r="D18" s="30">
        <f t="shared" si="2"/>
        <v>90.21</v>
      </c>
      <c r="E18" s="44">
        <v>3539.47</v>
      </c>
      <c r="F18" s="34">
        <v>22485</v>
      </c>
      <c r="H18" s="68"/>
      <c r="I18" s="68"/>
      <c r="J18" s="68"/>
      <c r="K18" s="69"/>
      <c r="L18" s="69"/>
      <c r="M18" s="69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 spans="1:23">
      <c r="A19" s="33" t="s">
        <v>37</v>
      </c>
      <c r="B19" s="34" t="s">
        <v>13</v>
      </c>
      <c r="C19" s="29">
        <f t="shared" si="1"/>
        <v>27.718323910874627</v>
      </c>
      <c r="D19" s="30">
        <f t="shared" si="2"/>
        <v>90.21</v>
      </c>
      <c r="E19" s="44">
        <v>2500.4699999999998</v>
      </c>
      <c r="F19" s="39">
        <v>22489</v>
      </c>
      <c r="H19" s="68"/>
      <c r="I19" s="68"/>
      <c r="J19" s="68"/>
      <c r="K19" s="70"/>
      <c r="L19" s="69"/>
      <c r="M19" s="70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 spans="1:23">
      <c r="A20" s="33" t="s">
        <v>42</v>
      </c>
      <c r="B20" s="34" t="s">
        <v>13</v>
      </c>
      <c r="C20" s="29">
        <f t="shared" si="1"/>
        <v>554.26227690943358</v>
      </c>
      <c r="D20" s="30">
        <f t="shared" si="2"/>
        <v>90.21</v>
      </c>
      <c r="E20" s="44">
        <v>50000</v>
      </c>
      <c r="F20" s="30">
        <v>22488</v>
      </c>
      <c r="H20" s="68"/>
      <c r="I20" s="68"/>
      <c r="J20" s="68"/>
      <c r="K20" s="70"/>
      <c r="L20" s="69"/>
      <c r="M20" s="69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 spans="1:23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71"/>
      <c r="I21" s="68"/>
      <c r="J21" s="68"/>
      <c r="K21" s="70"/>
      <c r="L21" s="69"/>
      <c r="M21" s="70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 spans="1:23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H22" s="68"/>
      <c r="I22" s="68"/>
      <c r="J22" s="68"/>
      <c r="K22" s="69"/>
      <c r="L22" s="69"/>
      <c r="M22" s="69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 spans="1:23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H23" s="68"/>
      <c r="I23" s="68"/>
      <c r="J23" s="68"/>
      <c r="K23" s="69"/>
      <c r="L23" s="69"/>
      <c r="M23" s="69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 spans="1:23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72"/>
      <c r="I24" s="72"/>
      <c r="J24" s="72"/>
      <c r="K24" s="69"/>
      <c r="L24" s="69"/>
      <c r="M24" s="69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 spans="1:23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72"/>
      <c r="I25" s="68"/>
      <c r="J25" s="68"/>
      <c r="K25" s="69"/>
      <c r="L25" s="69"/>
      <c r="M25" s="69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 spans="1:23">
      <c r="A26" s="30"/>
      <c r="B26" s="30"/>
      <c r="C26" s="29">
        <f>SUM(C15:C25)</f>
        <v>947.82851125152433</v>
      </c>
      <c r="D26" s="29"/>
      <c r="E26" s="29">
        <f>SUM(E15:E25)</f>
        <v>85503.61</v>
      </c>
      <c r="F26" s="30"/>
      <c r="H26" s="68"/>
      <c r="I26" s="68"/>
      <c r="J26" s="68"/>
      <c r="K26" s="69"/>
      <c r="L26" s="69"/>
      <c r="M26" s="69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>
      <c r="H27" s="68"/>
      <c r="I27" s="68"/>
      <c r="J27" s="68"/>
      <c r="K27" s="69"/>
      <c r="L27" s="69"/>
      <c r="M27" s="69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 spans="1:23">
      <c r="H28" s="68"/>
      <c r="I28" s="68"/>
      <c r="J28" s="68"/>
      <c r="K28" s="69"/>
      <c r="L28" s="69"/>
      <c r="M28" s="69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 spans="1:23">
      <c r="H29" s="68"/>
      <c r="I29" s="68"/>
      <c r="J29" s="68"/>
      <c r="K29" s="69"/>
      <c r="L29" s="69"/>
      <c r="M29" s="69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 spans="1:23">
      <c r="H30" s="68"/>
      <c r="I30" s="68"/>
      <c r="J30" s="68"/>
      <c r="K30" s="69"/>
      <c r="L30" s="69"/>
      <c r="M30" s="69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 spans="1:23">
      <c r="H31" s="68"/>
      <c r="I31" s="68"/>
      <c r="J31" s="68"/>
      <c r="K31" s="69"/>
      <c r="L31" s="69"/>
      <c r="M31" s="69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 spans="1:23">
      <c r="C32">
        <f>+C15+C16</f>
        <v>287.25174592617225</v>
      </c>
      <c r="H32" s="68"/>
      <c r="I32" s="68"/>
      <c r="J32" s="68"/>
      <c r="K32" s="69"/>
      <c r="L32" s="69"/>
      <c r="M32" s="69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8:23">
      <c r="H33" s="68"/>
      <c r="I33" s="68"/>
      <c r="J33" s="68"/>
      <c r="K33" s="69"/>
      <c r="L33" s="69"/>
      <c r="M33" s="69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 spans="8:23">
      <c r="H34" s="68"/>
      <c r="I34" s="68"/>
      <c r="J34" s="68"/>
      <c r="K34" s="69"/>
      <c r="L34" s="69"/>
      <c r="M34" s="69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spans="8:23">
      <c r="H35" s="68"/>
      <c r="I35" s="68"/>
      <c r="J35" s="68"/>
      <c r="K35" s="69"/>
      <c r="L35" s="69"/>
      <c r="M35" s="69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spans="8:23">
      <c r="H36" s="68"/>
      <c r="I36" s="68"/>
      <c r="J36" s="68"/>
      <c r="K36" s="69"/>
      <c r="L36" s="69"/>
      <c r="M36" s="69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 spans="8:23">
      <c r="H37" s="68"/>
      <c r="I37" s="68"/>
      <c r="J37" s="68"/>
      <c r="K37" s="69"/>
      <c r="L37" s="69"/>
      <c r="M37" s="69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 spans="8:23">
      <c r="H38" s="68"/>
      <c r="I38" s="68"/>
      <c r="J38" s="68"/>
      <c r="K38" s="69"/>
      <c r="L38" s="69"/>
      <c r="M38" s="69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 spans="8:23">
      <c r="H39" s="68"/>
      <c r="I39" s="68"/>
      <c r="J39" s="68"/>
      <c r="K39" s="69"/>
      <c r="L39" s="69"/>
      <c r="M39" s="69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 spans="8:23">
      <c r="H40" s="68"/>
      <c r="I40" s="68"/>
      <c r="J40" s="68"/>
      <c r="K40" s="69"/>
      <c r="L40" s="69"/>
      <c r="M40" s="69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 spans="8:23">
      <c r="H41" s="68"/>
      <c r="I41" s="68"/>
      <c r="J41" s="68"/>
      <c r="K41" s="68"/>
      <c r="L41" s="68"/>
      <c r="M41" s="68"/>
    </row>
    <row r="42" spans="8:23">
      <c r="H42" s="68"/>
      <c r="I42" s="68"/>
      <c r="J42" s="68"/>
      <c r="K42" s="68"/>
      <c r="L42" s="68"/>
      <c r="M42" s="68"/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50"/>
  <sheetViews>
    <sheetView tabSelected="1" topLeftCell="A5" workbookViewId="0">
      <selection activeCell="A13" sqref="A13:F13"/>
    </sheetView>
  </sheetViews>
  <sheetFormatPr defaultColWidth="9.109375" defaultRowHeight="14.4"/>
  <cols>
    <col min="1" max="1" width="13.109375" customWidth="1"/>
    <col min="2" max="2" width="12" customWidth="1"/>
    <col min="4" max="4" width="12" customWidth="1"/>
    <col min="5" max="5" width="13.109375" customWidth="1"/>
    <col min="6" max="6" width="14" customWidth="1"/>
    <col min="7" max="7" width="10.109375" customWidth="1"/>
    <col min="8" max="8" width="10.6640625" customWidth="1"/>
    <col min="9" max="9" width="9.5546875" customWidth="1"/>
    <col min="10" max="14" width="10.6640625" customWidth="1"/>
    <col min="15" max="15" width="13.44140625" customWidth="1"/>
    <col min="16" max="16" width="11.88671875" customWidth="1"/>
    <col min="18" max="18" width="10.6640625" customWidth="1"/>
    <col min="19" max="19" width="9.5546875" customWidth="1"/>
    <col min="20" max="20" width="10.6640625" customWidth="1"/>
    <col min="21" max="21" width="9.6640625" customWidth="1"/>
    <col min="23" max="23" width="12.5546875" customWidth="1"/>
    <col min="24" max="24" width="12" customWidth="1"/>
  </cols>
  <sheetData>
    <row r="1" spans="1:24" ht="18.600000000000001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8.600000000000001" customHeight="1">
      <c r="A2" s="47" t="s">
        <v>0</v>
      </c>
      <c r="B2" s="47" t="s">
        <v>1</v>
      </c>
      <c r="C2" s="47" t="s">
        <v>2</v>
      </c>
      <c r="D2" s="50" t="s">
        <v>3</v>
      </c>
      <c r="E2" s="56" t="s">
        <v>4</v>
      </c>
      <c r="F2" s="57"/>
      <c r="G2" s="56" t="s">
        <v>5</v>
      </c>
      <c r="H2" s="57"/>
      <c r="I2" s="56" t="s">
        <v>6</v>
      </c>
      <c r="J2" s="57"/>
      <c r="K2" s="56" t="s">
        <v>7</v>
      </c>
      <c r="L2" s="57"/>
      <c r="M2" s="56" t="s">
        <v>8</v>
      </c>
      <c r="N2" s="57"/>
      <c r="O2" s="54" t="s">
        <v>9</v>
      </c>
      <c r="P2" s="55"/>
      <c r="Q2" s="56" t="s">
        <v>10</v>
      </c>
      <c r="R2" s="57"/>
      <c r="S2" s="56" t="s">
        <v>11</v>
      </c>
      <c r="T2" s="57"/>
      <c r="U2" s="45" t="s">
        <v>12</v>
      </c>
      <c r="W2" s="2"/>
      <c r="X2" s="2"/>
    </row>
    <row r="3" spans="1:24" ht="18.600000000000001" customHeight="1">
      <c r="A3" s="46"/>
      <c r="B3" s="46"/>
      <c r="C3" s="46"/>
      <c r="D3" s="51"/>
      <c r="E3" s="40" t="s">
        <v>1</v>
      </c>
      <c r="F3" s="41" t="s">
        <v>3</v>
      </c>
      <c r="G3" s="40" t="s">
        <v>1</v>
      </c>
      <c r="H3" s="41" t="s">
        <v>3</v>
      </c>
      <c r="I3" s="40" t="s">
        <v>1</v>
      </c>
      <c r="J3" s="41" t="s">
        <v>3</v>
      </c>
      <c r="K3" s="40" t="s">
        <v>1</v>
      </c>
      <c r="L3" s="41" t="s">
        <v>3</v>
      </c>
      <c r="M3" s="40" t="s">
        <v>1</v>
      </c>
      <c r="N3" s="41" t="s">
        <v>3</v>
      </c>
      <c r="O3" s="40" t="s">
        <v>1</v>
      </c>
      <c r="P3" s="41" t="s">
        <v>3</v>
      </c>
      <c r="Q3" s="40" t="s">
        <v>1</v>
      </c>
      <c r="R3" s="41" t="s">
        <v>3</v>
      </c>
      <c r="S3" s="40" t="s">
        <v>1</v>
      </c>
      <c r="T3" s="41" t="s">
        <v>3</v>
      </c>
      <c r="U3" s="46"/>
      <c r="W3" s="2" t="s">
        <v>13</v>
      </c>
      <c r="X3" s="2">
        <f>+SUMIFS(C15:C25,B15:B25,W3)</f>
        <v>384.54483981820204</v>
      </c>
    </row>
    <row r="4" spans="1:24" s="2" customFormat="1">
      <c r="A4" s="3" t="s">
        <v>14</v>
      </c>
      <c r="B4" s="12">
        <f>+(H13+H14+H15)/$C$4</f>
        <v>1789.3228917963902</v>
      </c>
      <c r="C4" s="4">
        <v>104.71</v>
      </c>
      <c r="D4" s="5">
        <f>B4*C4</f>
        <v>187360</v>
      </c>
      <c r="E4" s="6">
        <v>0</v>
      </c>
      <c r="F4" s="7">
        <f>+E4*C4</f>
        <v>0</v>
      </c>
      <c r="G4" s="9">
        <f>+(H8*60%)/$C$4</f>
        <v>401.62645401585331</v>
      </c>
      <c r="H4" s="7">
        <f>+G4*C4</f>
        <v>42054.305999999997</v>
      </c>
      <c r="I4" s="6">
        <f>J4/C4</f>
        <v>0</v>
      </c>
      <c r="J4" s="7">
        <v>0</v>
      </c>
      <c r="K4" s="8">
        <f>+L8/$C$4</f>
        <v>76.649794670996087</v>
      </c>
      <c r="L4" s="7">
        <f>+K4*C4</f>
        <v>8026</v>
      </c>
      <c r="M4" s="9">
        <f>+(N8*60%)/$C$4</f>
        <v>499.57360328526408</v>
      </c>
      <c r="N4" s="7">
        <f>+M4*C4</f>
        <v>52310.351999999999</v>
      </c>
      <c r="O4" s="9"/>
      <c r="P4" s="7">
        <f>+O4*C4</f>
        <v>0</v>
      </c>
      <c r="Q4" s="6">
        <v>811.47303982427673</v>
      </c>
      <c r="R4" s="7">
        <f>+Q4*C4</f>
        <v>84969.342000000004</v>
      </c>
      <c r="S4" s="10">
        <f>+X4</f>
        <v>0</v>
      </c>
      <c r="T4" s="7">
        <f>+S4*C4</f>
        <v>0</v>
      </c>
      <c r="U4" s="11">
        <f>+B4-E4-G4-Q4-S4-K4-I4-M4-O4</f>
        <v>-5.6843418860808015E-14</v>
      </c>
      <c r="W4" t="s">
        <v>15</v>
      </c>
      <c r="X4" s="2">
        <f>+SUMIFS(C15:C26,B15:B26,W4)</f>
        <v>0</v>
      </c>
    </row>
    <row r="5" spans="1:24" s="2" customFormat="1">
      <c r="A5" s="3" t="s">
        <v>16</v>
      </c>
      <c r="B5" s="12">
        <f>+(I13+I14+I15)/$C$5</f>
        <v>1671.8102205963862</v>
      </c>
      <c r="C5" s="4">
        <v>90.21</v>
      </c>
      <c r="D5" s="5">
        <f>B5*C5</f>
        <v>150814</v>
      </c>
      <c r="E5" s="6">
        <v>0</v>
      </c>
      <c r="F5" s="7">
        <f>+E5*C5</f>
        <v>0</v>
      </c>
      <c r="G5" s="6">
        <f>+(H8*40%)/$C$5</f>
        <v>310.78820529874736</v>
      </c>
      <c r="H5" s="7">
        <f>+G5*C5</f>
        <v>28036.203999999998</v>
      </c>
      <c r="I5" s="6">
        <f>+J8/C5</f>
        <v>0</v>
      </c>
      <c r="J5" s="7">
        <f>+I5*C5</f>
        <v>0</v>
      </c>
      <c r="K5" s="6">
        <v>0</v>
      </c>
      <c r="L5" s="7">
        <f>+K5*C5</f>
        <v>0</v>
      </c>
      <c r="M5" s="6">
        <f>+(N8*40%)/$C$5</f>
        <v>386.58206407271922</v>
      </c>
      <c r="N5" s="7">
        <f>+M5*C5</f>
        <v>34873.567999999999</v>
      </c>
      <c r="O5" s="9">
        <f>+P8/C5</f>
        <v>0</v>
      </c>
      <c r="P5" s="7">
        <f>+O5*C5</f>
        <v>0</v>
      </c>
      <c r="Q5" s="6">
        <v>589.89511140671766</v>
      </c>
      <c r="R5" s="7">
        <f>+Q5*C5</f>
        <v>53214.437999999995</v>
      </c>
      <c r="S5" s="10">
        <f>+X3</f>
        <v>384.54483981820204</v>
      </c>
      <c r="T5" s="7">
        <f>+S5*C5</f>
        <v>34689.79</v>
      </c>
      <c r="U5" s="11">
        <f>+B5-E5-G5-Q5-S5-K5-I5-M5-O5</f>
        <v>5.6843418860808015E-14</v>
      </c>
      <c r="W5" t="s">
        <v>17</v>
      </c>
      <c r="X5" s="2">
        <f>+SUMIFS(C17:C27,B17:B27,W5)</f>
        <v>0</v>
      </c>
    </row>
    <row r="6" spans="1:24" s="2" customFormat="1">
      <c r="A6" s="3" t="s">
        <v>17</v>
      </c>
      <c r="B6" s="12">
        <f>+(J13+J14+J15)/$C$6</f>
        <v>41.879432624113477</v>
      </c>
      <c r="C6" s="4">
        <v>112.8</v>
      </c>
      <c r="D6" s="5">
        <f>B6*C6</f>
        <v>4724</v>
      </c>
      <c r="E6" s="6">
        <v>0</v>
      </c>
      <c r="F6" s="7">
        <f>+E6*C6</f>
        <v>0</v>
      </c>
      <c r="G6" s="6"/>
      <c r="H6" s="7">
        <f>+G6*C6</f>
        <v>0</v>
      </c>
      <c r="I6" s="6">
        <v>0</v>
      </c>
      <c r="J6" s="7">
        <f>+I6*C6</f>
        <v>0</v>
      </c>
      <c r="K6" s="6">
        <v>0</v>
      </c>
      <c r="L6" s="7">
        <f>+K6*C6</f>
        <v>0</v>
      </c>
      <c r="M6" s="9">
        <v>0</v>
      </c>
      <c r="N6" s="7">
        <f>+M6*C6</f>
        <v>0</v>
      </c>
      <c r="O6" s="9"/>
      <c r="P6" s="7">
        <f>+O6*C6</f>
        <v>0</v>
      </c>
      <c r="Q6" s="6">
        <v>41.879432624113477</v>
      </c>
      <c r="R6" s="7">
        <f>+Q6*C6</f>
        <v>4724</v>
      </c>
      <c r="S6" s="10">
        <f>+X5</f>
        <v>0</v>
      </c>
      <c r="T6" s="7">
        <f>+S6*C6</f>
        <v>0</v>
      </c>
      <c r="U6" s="11">
        <f>+B6-E6-G6-Q6-S6-K6-I6-M6-O6</f>
        <v>0</v>
      </c>
    </row>
    <row r="7" spans="1:24" s="2" customFormat="1">
      <c r="A7" s="3"/>
      <c r="B7" s="38">
        <f>SUM(B4:B6)</f>
        <v>3503.0125450168903</v>
      </c>
      <c r="C7" s="3"/>
      <c r="D7" s="13">
        <f t="shared" ref="D7:T7" si="0">SUM(D4:D6)</f>
        <v>342898</v>
      </c>
      <c r="E7" s="14">
        <f t="shared" si="0"/>
        <v>0</v>
      </c>
      <c r="F7" s="15">
        <f t="shared" si="0"/>
        <v>0</v>
      </c>
      <c r="G7" s="14">
        <f t="shared" si="0"/>
        <v>712.41465931460061</v>
      </c>
      <c r="H7" s="15">
        <f t="shared" si="0"/>
        <v>70090.509999999995</v>
      </c>
      <c r="I7" s="14">
        <f t="shared" si="0"/>
        <v>0</v>
      </c>
      <c r="J7" s="15">
        <f t="shared" si="0"/>
        <v>0</v>
      </c>
      <c r="K7" s="14">
        <f t="shared" si="0"/>
        <v>76.649794670996087</v>
      </c>
      <c r="L7" s="15">
        <f t="shared" si="0"/>
        <v>8026</v>
      </c>
      <c r="M7" s="14">
        <f t="shared" si="0"/>
        <v>886.15566735798325</v>
      </c>
      <c r="N7" s="15">
        <f t="shared" si="0"/>
        <v>87183.92</v>
      </c>
      <c r="O7" s="14">
        <f t="shared" si="0"/>
        <v>0</v>
      </c>
      <c r="P7" s="15">
        <f t="shared" si="0"/>
        <v>0</v>
      </c>
      <c r="Q7" s="14">
        <f t="shared" si="0"/>
        <v>1443.2475838551079</v>
      </c>
      <c r="R7" s="15">
        <f t="shared" si="0"/>
        <v>142907.78</v>
      </c>
      <c r="S7" s="14">
        <f t="shared" si="0"/>
        <v>384.54483981820204</v>
      </c>
      <c r="T7" s="15">
        <f t="shared" si="0"/>
        <v>34689.79</v>
      </c>
      <c r="U7" s="11">
        <f>+B7-E7-G7-Q7-S7-K7-I7-M7-O7</f>
        <v>3.4106051316484809E-13</v>
      </c>
    </row>
    <row r="8" spans="1:24" s="2" customFormat="1" ht="15" customHeight="1" thickBot="1">
      <c r="A8" s="52" t="s">
        <v>18</v>
      </c>
      <c r="B8" s="53"/>
      <c r="C8" s="16"/>
      <c r="D8" s="17"/>
      <c r="E8" s="18"/>
      <c r="F8" s="19">
        <v>0</v>
      </c>
      <c r="G8" s="18"/>
      <c r="H8" s="19">
        <v>70090.509999999995</v>
      </c>
      <c r="I8" s="18"/>
      <c r="J8" s="19">
        <v>0</v>
      </c>
      <c r="K8" s="18"/>
      <c r="L8" s="19">
        <v>8026</v>
      </c>
      <c r="M8" s="20"/>
      <c r="N8" s="19">
        <v>87183.92</v>
      </c>
      <c r="O8" s="20" t="s">
        <v>19</v>
      </c>
      <c r="P8" s="19">
        <v>0</v>
      </c>
      <c r="Q8" s="18">
        <v>0</v>
      </c>
      <c r="R8" s="19">
        <v>134707</v>
      </c>
      <c r="S8" s="18"/>
      <c r="T8" s="19">
        <v>42890</v>
      </c>
      <c r="U8" s="17"/>
    </row>
    <row r="9" spans="1:24" ht="15.6" customHeight="1" thickTop="1" thickBot="1">
      <c r="A9" s="48" t="s">
        <v>20</v>
      </c>
      <c r="B9" s="49"/>
      <c r="C9" s="49"/>
      <c r="D9" s="21"/>
      <c r="E9" s="21"/>
      <c r="F9" s="22">
        <f>+F7-F8</f>
        <v>0</v>
      </c>
      <c r="G9" s="21"/>
      <c r="H9" s="22">
        <f>+H7-H8</f>
        <v>0</v>
      </c>
      <c r="I9" s="21"/>
      <c r="J9" s="22">
        <f>+J7-J8</f>
        <v>0</v>
      </c>
      <c r="K9" s="21"/>
      <c r="L9" s="22">
        <f>+L7-L8</f>
        <v>0</v>
      </c>
      <c r="M9" s="22"/>
      <c r="N9" s="22">
        <f>+N7-N8</f>
        <v>0</v>
      </c>
      <c r="O9" s="22"/>
      <c r="P9" s="22">
        <f>+P7-P8</f>
        <v>0</v>
      </c>
      <c r="Q9" s="21"/>
      <c r="R9" s="22">
        <f>+R7-R8</f>
        <v>8200.7799999999988</v>
      </c>
      <c r="S9" s="21"/>
      <c r="T9" s="22">
        <f>+T7-T8</f>
        <v>-8200.2099999999991</v>
      </c>
      <c r="U9" s="23"/>
    </row>
    <row r="10" spans="1:24" ht="15" customHeight="1" thickTop="1">
      <c r="A10" s="24"/>
      <c r="B10" s="24">
        <v>0</v>
      </c>
      <c r="C10" s="24"/>
      <c r="D10" s="2"/>
      <c r="E10" s="2"/>
      <c r="F10" s="25"/>
      <c r="G10" s="2"/>
      <c r="H10" s="25"/>
      <c r="I10" s="2"/>
      <c r="J10" s="25"/>
      <c r="K10" s="2"/>
      <c r="L10" s="6"/>
      <c r="M10" s="2"/>
      <c r="N10" s="25"/>
      <c r="O10" s="25"/>
      <c r="P10" s="25"/>
      <c r="Q10" s="25"/>
      <c r="R10" s="25"/>
      <c r="S10" s="2"/>
      <c r="T10" s="25"/>
      <c r="U10" s="2"/>
    </row>
    <row r="11" spans="1:24">
      <c r="A11" s="26" t="s">
        <v>21</v>
      </c>
      <c r="D11" s="27">
        <f>+D7-F8-H8-L8-J8-R8-T8-N8-P8</f>
        <v>0.569999999992433</v>
      </c>
      <c r="F11" s="28"/>
      <c r="M11" s="28"/>
    </row>
    <row r="12" spans="1:24">
      <c r="F12" s="28"/>
      <c r="G12" s="28"/>
      <c r="H12" s="29" t="s">
        <v>14</v>
      </c>
      <c r="I12" s="29" t="s">
        <v>16</v>
      </c>
      <c r="J12" s="29" t="s">
        <v>22</v>
      </c>
    </row>
    <row r="13" spans="1:24">
      <c r="A13" s="58" t="s">
        <v>23</v>
      </c>
      <c r="B13" s="59"/>
      <c r="C13" s="59"/>
      <c r="D13" s="59"/>
      <c r="E13" s="59"/>
      <c r="F13" s="57"/>
      <c r="H13" s="30">
        <v>74854</v>
      </c>
      <c r="I13" s="36">
        <v>54981</v>
      </c>
      <c r="J13" s="60">
        <v>4724</v>
      </c>
      <c r="K13" s="63"/>
      <c r="L13" s="63"/>
      <c r="M13" s="63"/>
      <c r="N13" s="63"/>
      <c r="O13" s="63"/>
      <c r="P13" s="63"/>
    </row>
    <row r="14" spans="1:24">
      <c r="A14" s="29" t="s">
        <v>24</v>
      </c>
      <c r="B14" s="29" t="s">
        <v>25</v>
      </c>
      <c r="C14" s="31" t="s">
        <v>26</v>
      </c>
      <c r="D14" s="31" t="s">
        <v>27</v>
      </c>
      <c r="E14" s="31" t="s">
        <v>28</v>
      </c>
      <c r="F14" s="32" t="s">
        <v>29</v>
      </c>
      <c r="H14" s="30">
        <v>112506</v>
      </c>
      <c r="I14" s="36">
        <v>29752</v>
      </c>
      <c r="J14" s="60"/>
      <c r="K14" s="64"/>
      <c r="L14" s="64"/>
      <c r="M14" s="64"/>
      <c r="N14" s="63"/>
      <c r="O14" s="63"/>
      <c r="P14" s="63"/>
    </row>
    <row r="15" spans="1:24">
      <c r="A15" s="33" t="s">
        <v>33</v>
      </c>
      <c r="B15" s="34" t="s">
        <v>13</v>
      </c>
      <c r="C15" s="29">
        <f t="shared" ref="C15:C25" si="1">+E15/D15</f>
        <v>221.70491076377343</v>
      </c>
      <c r="D15" s="30">
        <f t="shared" ref="D15:D25" si="2">+VLOOKUP(B15,A$4:C$6,3,0)</f>
        <v>90.21</v>
      </c>
      <c r="E15" s="42">
        <v>20000</v>
      </c>
      <c r="F15" s="34">
        <v>22491</v>
      </c>
      <c r="H15" s="36"/>
      <c r="I15" s="36">
        <v>66081</v>
      </c>
      <c r="J15" s="61"/>
      <c r="K15" s="65"/>
      <c r="L15" s="63"/>
      <c r="M15" s="63"/>
      <c r="N15" s="63"/>
      <c r="O15" s="63"/>
      <c r="P15" s="63"/>
    </row>
    <row r="16" spans="1:24">
      <c r="A16" s="33" t="s">
        <v>30</v>
      </c>
      <c r="B16" s="34" t="s">
        <v>13</v>
      </c>
      <c r="C16" s="29">
        <f t="shared" si="1"/>
        <v>162.83992905442858</v>
      </c>
      <c r="D16" s="30">
        <f t="shared" si="2"/>
        <v>90.21</v>
      </c>
      <c r="E16" s="42">
        <v>14689.79</v>
      </c>
      <c r="F16" s="34">
        <v>22492</v>
      </c>
      <c r="H16" s="30">
        <f>+H24/C4</f>
        <v>0</v>
      </c>
      <c r="I16" s="43">
        <f>+I24/C5</f>
        <v>0</v>
      </c>
      <c r="J16" s="62">
        <f>+J24/C6</f>
        <v>0</v>
      </c>
      <c r="K16" s="65"/>
      <c r="L16" s="63"/>
      <c r="M16" s="65"/>
      <c r="N16" s="63"/>
      <c r="O16" s="63"/>
      <c r="P16" s="63"/>
    </row>
    <row r="17" spans="1:16">
      <c r="A17" s="33"/>
      <c r="B17" s="34" t="s">
        <v>13</v>
      </c>
      <c r="C17" s="29">
        <f t="shared" si="1"/>
        <v>0</v>
      </c>
      <c r="D17" s="30">
        <f t="shared" si="2"/>
        <v>90.21</v>
      </c>
      <c r="E17" s="44"/>
      <c r="F17" s="34"/>
      <c r="H17" s="28"/>
      <c r="K17" s="65"/>
      <c r="L17" s="63"/>
      <c r="M17" s="63"/>
      <c r="N17" s="63"/>
      <c r="O17" s="63"/>
      <c r="P17" s="63"/>
    </row>
    <row r="18" spans="1:16">
      <c r="A18" s="33"/>
      <c r="B18" s="34" t="s">
        <v>13</v>
      </c>
      <c r="C18" s="29">
        <f t="shared" si="1"/>
        <v>0</v>
      </c>
      <c r="D18" s="30">
        <f t="shared" si="2"/>
        <v>90.21</v>
      </c>
      <c r="E18" s="44"/>
      <c r="F18" s="34"/>
      <c r="K18" s="63"/>
      <c r="L18" s="63"/>
      <c r="M18" s="63"/>
      <c r="N18" s="63"/>
      <c r="O18" s="63"/>
      <c r="P18" s="63"/>
    </row>
    <row r="19" spans="1:16">
      <c r="A19" s="33"/>
      <c r="B19" s="34" t="s">
        <v>13</v>
      </c>
      <c r="C19" s="29">
        <f t="shared" si="1"/>
        <v>0</v>
      </c>
      <c r="D19" s="30">
        <f t="shared" si="2"/>
        <v>90.21</v>
      </c>
      <c r="E19" s="44"/>
      <c r="F19" s="39"/>
      <c r="K19" s="66"/>
      <c r="L19" s="63"/>
      <c r="M19" s="65"/>
      <c r="N19" s="63"/>
      <c r="O19" s="63"/>
      <c r="P19" s="63"/>
    </row>
    <row r="20" spans="1:16">
      <c r="A20" s="33"/>
      <c r="B20" s="34" t="s">
        <v>13</v>
      </c>
      <c r="C20" s="29">
        <f t="shared" si="1"/>
        <v>0</v>
      </c>
      <c r="D20" s="30">
        <f t="shared" si="2"/>
        <v>90.21</v>
      </c>
      <c r="E20" s="44"/>
      <c r="F20" s="30"/>
      <c r="K20" s="65"/>
      <c r="L20" s="63"/>
      <c r="M20" s="67"/>
      <c r="N20" s="63"/>
      <c r="O20" s="63"/>
      <c r="P20" s="63"/>
    </row>
    <row r="21" spans="1:16">
      <c r="A21" s="33"/>
      <c r="B21" s="34" t="s">
        <v>13</v>
      </c>
      <c r="C21" s="29">
        <f t="shared" si="1"/>
        <v>0</v>
      </c>
      <c r="D21" s="30">
        <f t="shared" si="2"/>
        <v>90.21</v>
      </c>
      <c r="E21" s="44"/>
      <c r="F21" s="35"/>
      <c r="H21" s="37"/>
      <c r="K21" s="65"/>
      <c r="L21" s="63"/>
      <c r="M21" s="65"/>
      <c r="N21" s="63"/>
      <c r="O21" s="63"/>
      <c r="P21" s="63"/>
    </row>
    <row r="22" spans="1:16">
      <c r="A22" s="33"/>
      <c r="B22" s="34" t="s">
        <v>13</v>
      </c>
      <c r="C22" s="29">
        <f t="shared" si="1"/>
        <v>0</v>
      </c>
      <c r="D22" s="30">
        <f t="shared" si="2"/>
        <v>90.21</v>
      </c>
      <c r="E22" s="44"/>
      <c r="F22" s="30"/>
      <c r="K22" s="63"/>
      <c r="L22" s="63"/>
      <c r="M22" s="63"/>
      <c r="N22" s="63"/>
      <c r="O22" s="63"/>
      <c r="P22" s="63"/>
    </row>
    <row r="23" spans="1:16">
      <c r="A23" s="34"/>
      <c r="B23" s="34" t="s">
        <v>13</v>
      </c>
      <c r="C23" s="29">
        <f t="shared" si="1"/>
        <v>0</v>
      </c>
      <c r="D23" s="30">
        <f t="shared" si="2"/>
        <v>90.21</v>
      </c>
      <c r="E23" s="44"/>
      <c r="F23" s="30"/>
      <c r="K23" s="63"/>
      <c r="L23" s="63"/>
      <c r="M23" s="63"/>
      <c r="N23" s="63"/>
      <c r="O23" s="63"/>
      <c r="P23" s="63"/>
    </row>
    <row r="24" spans="1:16">
      <c r="A24" s="34"/>
      <c r="B24" s="34" t="s">
        <v>13</v>
      </c>
      <c r="C24" s="29">
        <f t="shared" si="1"/>
        <v>0</v>
      </c>
      <c r="D24" s="30">
        <f t="shared" si="2"/>
        <v>90.21</v>
      </c>
      <c r="E24" s="29"/>
      <c r="F24" s="30"/>
      <c r="H24" s="28"/>
      <c r="I24" s="28"/>
      <c r="J24" s="28"/>
    </row>
    <row r="25" spans="1:16">
      <c r="A25" s="34"/>
      <c r="B25" s="34" t="s">
        <v>13</v>
      </c>
      <c r="C25" s="29">
        <f t="shared" si="1"/>
        <v>0</v>
      </c>
      <c r="D25" s="30">
        <f t="shared" si="2"/>
        <v>90.21</v>
      </c>
      <c r="E25" s="29"/>
      <c r="F25" s="30"/>
      <c r="H25" s="28"/>
    </row>
    <row r="26" spans="1:16">
      <c r="A26" s="30"/>
      <c r="B26" s="30"/>
      <c r="C26" s="29">
        <f>SUM(C15:C25)</f>
        <v>384.54483981820204</v>
      </c>
      <c r="D26" s="29"/>
      <c r="E26" s="29">
        <f>SUM(E15:E25)</f>
        <v>34689.79</v>
      </c>
      <c r="F26" s="30"/>
    </row>
    <row r="32" spans="1:16">
      <c r="C32">
        <f>+C15+C16</f>
        <v>384.54483981820204</v>
      </c>
    </row>
    <row r="35" spans="8:8">
      <c r="H35" t="s">
        <v>32</v>
      </c>
    </row>
    <row r="50" spans="5:5">
      <c r="E50">
        <v>9</v>
      </c>
    </row>
  </sheetData>
  <mergeCells count="16"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  <mergeCell ref="O2:P2"/>
    <mergeCell ref="M2:N2"/>
    <mergeCell ref="S2:T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1-10-2025</vt:lpstr>
      <vt:lpstr>2-10-2025</vt:lpstr>
      <vt:lpstr>3-10-2025</vt:lpstr>
      <vt:lpstr>4-10-2025</vt:lpstr>
      <vt:lpstr>5-10-2025</vt:lpstr>
      <vt:lpstr>6-10-2025</vt:lpstr>
      <vt:lpstr>7-10-2025</vt:lpstr>
      <vt:lpstr>8-10-2025</vt:lpstr>
      <vt:lpstr>9-10-2025</vt:lpstr>
      <vt:lpstr>10-10-2025</vt:lpstr>
      <vt:lpstr>11-10-2025</vt:lpstr>
      <vt:lpstr>12-10-2025</vt:lpstr>
      <vt:lpstr>13-10-2025</vt:lpstr>
      <vt:lpstr>14-10-2025</vt:lpstr>
      <vt:lpstr>15-10-2025</vt:lpstr>
      <vt:lpstr>16-10-2025</vt:lpstr>
      <vt:lpstr>17-10-2025</vt:lpstr>
      <vt:lpstr>18-10-2025</vt:lpstr>
      <vt:lpstr>19-10-2025</vt:lpstr>
      <vt:lpstr>20-10-2025</vt:lpstr>
      <vt:lpstr>21-10-2025</vt:lpstr>
      <vt:lpstr>22-10-2025</vt:lpstr>
      <vt:lpstr>23-10-2025</vt:lpstr>
      <vt:lpstr>24-10-2025</vt:lpstr>
      <vt:lpstr>25-10-2025</vt:lpstr>
      <vt:lpstr>26-10-2025</vt:lpstr>
      <vt:lpstr>27-10-2025</vt:lpstr>
      <vt:lpstr>28-10-2025</vt:lpstr>
      <vt:lpstr>29-10-2025</vt:lpstr>
      <vt:lpstr>30-10-2025</vt:lpstr>
      <vt:lpstr>31-10-2025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</dc:creator>
  <cp:lastModifiedBy>Asus</cp:lastModifiedBy>
  <dcterms:created xsi:type="dcterms:W3CDTF">2015-06-05T18:17:20Z</dcterms:created>
  <dcterms:modified xsi:type="dcterms:W3CDTF">2026-09-27T03:30:02Z</dcterms:modified>
</cp:coreProperties>
</file>
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23" activeTab="0" autoFilterDateGrouping="1"/>
  </bookViews>
  <sheets>
    <sheet name="1-10-2025" sheetId="1" state="visible" r:id="rId1"/>
    <sheet name="2-10-2025" sheetId="2" state="visible" r:id="rId2"/>
    <sheet name="3-10-2025" sheetId="3" state="visible" r:id="rId3"/>
    <sheet name="4-10-2025" sheetId="4" state="visible" r:id="rId4"/>
    <sheet name="5-10-2025" sheetId="5" state="visible" r:id="rId5"/>
    <sheet name="6-10-2025" sheetId="6" state="visible" r:id="rId6"/>
    <sheet name="7-10-2025" sheetId="7" state="visible" r:id="rId7"/>
    <sheet name="8-10-2025" sheetId="8" state="visible" r:id="rId8"/>
    <sheet name="9-10-2025" sheetId="9" state="visible" r:id="rId9"/>
    <sheet name="10-10-2025" sheetId="10" state="visible" r:id="rId10"/>
    <sheet name="11-10-2025" sheetId="11" state="visible" r:id="rId11"/>
    <sheet name="12-10-2025" sheetId="12" state="visible" r:id="rId12"/>
    <sheet name="13-10-2025" sheetId="13" state="visible" r:id="rId13"/>
    <sheet name="14-10-2025" sheetId="14" state="visible" r:id="rId14"/>
    <sheet name="15-10-2025" sheetId="15" state="visible" r:id="rId15"/>
    <sheet name="16-10-2025" sheetId="16" state="visible" r:id="rId16"/>
    <sheet name="17-10-2025" sheetId="17" state="visible" r:id="rId17"/>
    <sheet name="18-10-2025" sheetId="18" state="visible" r:id="rId18"/>
    <sheet name="19-10-2025" sheetId="19" state="visible" r:id="rId19"/>
    <sheet name="20-10-2025" sheetId="20" state="visible" r:id="rId20"/>
    <sheet name="21-10-2025" sheetId="21" state="visible" r:id="rId21"/>
    <sheet name="22-10-2025" sheetId="22" state="visible" r:id="rId22"/>
    <sheet name="23-10-2025" sheetId="23" state="visible" r:id="rId23"/>
    <sheet name="24-10-2025" sheetId="24" state="visible" r:id="rId24"/>
    <sheet name="25-10-2025" sheetId="25" state="visible" r:id="rId25"/>
    <sheet name="26-10-2025" sheetId="26" state="visible" r:id="rId26"/>
    <sheet name="27-10-2025" sheetId="27" state="visible" r:id="rId27"/>
    <sheet name="28-10-2025" sheetId="28" state="visible" r:id="rId28"/>
    <sheet name="29-10-2025" sheetId="29" state="visible" r:id="rId29"/>
    <sheet name="30-10-2025" sheetId="30" state="visible" r:id="rId30"/>
    <sheet name="31-10-2025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00"/>
    <numFmt numFmtId="166" formatCode="0.00_ 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134"/>
      <b val="1"/>
      <sz val="15"/>
    </font>
    <font>
      <name val="Arial"/>
      <charset val="134"/>
      <sz val="11"/>
    </font>
    <font>
      <name val="Arial"/>
      <charset val="134"/>
      <b val="1"/>
      <sz val="11"/>
    </font>
    <font>
      <name val="Arial"/>
      <charset val="134"/>
      <b val="1"/>
      <sz val="10"/>
    </font>
    <font>
      <name val="Arial"/>
      <charset val="134"/>
      <sz val="10"/>
    </font>
    <font>
      <name val="Calibri"/>
      <charset val="134"/>
      <color rgb="FFFF0000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822992645039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8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2" fontId="3" fillId="0" borderId="3" applyAlignment="1" pivotButton="0" quotePrefix="0" xfId="0">
      <alignment vertical="center"/>
    </xf>
    <xf numFmtId="2" fontId="3" fillId="0" borderId="4" applyAlignment="1" pivotButton="0" quotePrefix="0" xfId="0">
      <alignment vertical="center"/>
    </xf>
    <xf numFmtId="2" fontId="3" fillId="0" borderId="5" applyAlignment="1" pivotButton="0" quotePrefix="0" xfId="0">
      <alignment vertical="center"/>
    </xf>
    <xf numFmtId="2" fontId="3" fillId="2" borderId="4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0" fillId="0" borderId="8" pivotButton="0" quotePrefix="0" xfId="0"/>
    <xf numFmtId="2" fontId="3" fillId="0" borderId="2" applyAlignment="1" pivotButton="0" quotePrefix="0" xfId="0">
      <alignment vertical="center"/>
    </xf>
    <xf numFmtId="2" fontId="3" fillId="0" borderId="2" applyAlignment="1" pivotButton="0" quotePrefix="0" xfId="0">
      <alignment horizontal="center" vertical="center"/>
    </xf>
    <xf numFmtId="2" fontId="4" fillId="0" borderId="3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11" applyAlignment="1" pivotButton="0" quotePrefix="0" xfId="0">
      <alignment vertical="center"/>
    </xf>
    <xf numFmtId="2" fontId="5" fillId="2" borderId="12" applyAlignment="1" pivotButton="0" quotePrefix="0" xfId="0">
      <alignment vertical="center"/>
    </xf>
    <xf numFmtId="2" fontId="5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0" fontId="6" fillId="0" borderId="0" pivotButton="0" quotePrefix="0" xfId="0"/>
    <xf numFmtId="2" fontId="7" fillId="0" borderId="0" pivotButton="0" quotePrefix="0" xfId="0"/>
    <xf numFmtId="2" fontId="0" fillId="0" borderId="0" pivotButton="0" quotePrefix="0" xfId="0"/>
    <xf numFmtId="0" fontId="8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8" fillId="0" borderId="2" pivotButton="0" quotePrefix="0" xfId="0"/>
    <xf numFmtId="0" fontId="1" fillId="0" borderId="2" pivotButton="0" quotePrefix="0" xfId="0"/>
    <xf numFmtId="0" fontId="6" fillId="0" borderId="2" pivotButton="0" quotePrefix="0" xfId="0"/>
    <xf numFmtId="3" fontId="0" fillId="0" borderId="2" pivotButton="0" quotePrefix="0" xfId="0"/>
    <xf numFmtId="2" fontId="0" fillId="0" borderId="2" pivotButton="0" quotePrefix="0" xfId="0"/>
    <xf numFmtId="0" fontId="8" fillId="0" borderId="0" pivotButton="0" quotePrefix="0" xfId="0"/>
    <xf numFmtId="2" fontId="3" fillId="0" borderId="4" applyAlignment="1" pivotButton="0" quotePrefix="0" xfId="0">
      <alignment horizontal="center" vertical="center"/>
    </xf>
    <xf numFmtId="3" fontId="0" fillId="0" borderId="2" applyAlignment="1" pivotButton="0" quotePrefix="1" xfId="0">
      <alignment horizontal="right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8" fillId="0" borderId="2" pivotButton="0" quotePrefix="0" xfId="1"/>
    <xf numFmtId="165" fontId="0" fillId="0" borderId="2" pivotButton="0" quotePrefix="0" xfId="0"/>
    <xf numFmtId="166" fontId="8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2" fontId="0" fillId="0" borderId="3" pivotButton="0" quotePrefix="0" xfId="0"/>
    <xf numFmtId="165" fontId="0" fillId="0" borderId="3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2" fontId="0" fillId="0" borderId="0" pivotButton="0" quotePrefix="0" xfId="0"/>
    <xf numFmtId="2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8" fillId="0" borderId="3" pivotButton="0" quotePrefix="0" xfId="0"/>
    <xf numFmtId="0" fontId="6" fillId="0" borderId="0" applyAlignment="1" pivotButton="0" quotePrefix="0" xfId="0">
      <alignment horizontal="center"/>
    </xf>
    <xf numFmtId="2" fontId="3" fillId="0" borderId="20" applyAlignment="1" pivotButton="0" quotePrefix="0" xfId="0">
      <alignment vertical="center"/>
    </xf>
    <xf numFmtId="0" fontId="6" fillId="0" borderId="17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2" fontId="0" fillId="0" borderId="17" pivotButton="0" quotePrefix="0" xfId="0"/>
    <xf numFmtId="0" fontId="0" fillId="0" borderId="2" pivotButton="0" quotePrefix="0" xfId="0"/>
    <xf numFmtId="2" fontId="0" fillId="0" borderId="2" pivotButton="0" quotePrefix="0" xfId="0"/>
    <xf numFmtId="164" fontId="8" fillId="0" borderId="2" pivotButton="0" quotePrefix="0" xfId="1"/>
    <xf numFmtId="166" fontId="8" fillId="0" borderId="2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729.7103619520582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525.1132690389092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51.31205673758866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54093.63</v>
      </c>
      <c r="I8" s="18" t="n"/>
      <c r="J8" s="19" t="n">
        <v>700</v>
      </c>
      <c r="K8" s="18" t="n"/>
      <c r="L8" s="19" t="n">
        <v>8462.059999999999</v>
      </c>
      <c r="M8" s="20" t="n"/>
      <c r="N8" s="19" t="n">
        <v>86444.64999999999</v>
      </c>
      <c r="O8" s="20" t="inlineStr"/>
      <c r="P8" s="19" t="n">
        <v>0</v>
      </c>
      <c r="Q8" s="18" t="n">
        <v>0</v>
      </c>
      <c r="R8" s="19" t="n">
        <v>123566</v>
      </c>
      <c r="S8" s="18" t="n"/>
      <c r="T8" s="19" t="n">
        <v>21758.21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68575</v>
      </c>
      <c r="I13" s="80" t="n">
        <v>65773</v>
      </c>
      <c r="J13" s="79" t="n">
        <v>5788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100618</v>
      </c>
      <c r="I14" s="80" t="n">
        <v>4335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12054.63</v>
      </c>
      <c r="F15" s="34" t="n">
        <v>22335</v>
      </c>
      <c r="H15" s="80" t="n"/>
      <c r="I15" s="80" t="n">
        <v>49936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523.55</v>
      </c>
      <c r="F16" s="34" t="n">
        <v>22336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Moolchand Mali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3180.04</v>
      </c>
      <c r="F17" s="34" t="n">
        <v>22337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129.9740043930857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822.2689502272474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343.4751773049646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93100.86</v>
      </c>
      <c r="I8" s="18" t="n"/>
      <c r="J8" s="19" t="n">
        <v>1600</v>
      </c>
      <c r="K8" s="18" t="n"/>
      <c r="L8" s="19" t="n">
        <v>25485.85</v>
      </c>
      <c r="M8" s="20" t="n"/>
      <c r="N8" s="19" t="n">
        <v>72791.75999999999</v>
      </c>
      <c r="O8" s="20" t="inlineStr"/>
      <c r="P8" s="19" t="n">
        <v>0</v>
      </c>
      <c r="Q8" s="18" t="n">
        <v>0</v>
      </c>
      <c r="R8" s="19" t="n">
        <v>119210</v>
      </c>
      <c r="S8" s="18" t="n"/>
      <c r="T8" s="19" t="n">
        <v>54783.07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69737</v>
      </c>
      <c r="I13" s="80" t="n">
        <v>40021</v>
      </c>
      <c r="J13" s="79" t="n">
        <v>38744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68894</v>
      </c>
      <c r="I14" s="80" t="n">
        <v>98392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22070.77</v>
      </c>
      <c r="F15" s="34" t="n">
        <v>22339</v>
      </c>
      <c r="H15" s="80" t="n"/>
      <c r="I15" s="80" t="n">
        <v>51184</v>
      </c>
      <c r="J15" s="80" t="n"/>
      <c r="K15" s="72" t="n"/>
    </row>
    <row r="16">
      <c r="A16" s="33" t="inlineStr">
        <is>
          <t>arjun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21851.56</v>
      </c>
      <c r="F16" s="34" t="n">
        <v>22340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3540.74</v>
      </c>
      <c r="F17" s="34" t="n">
        <v>22342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429.0005539108014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165.8815208956876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140.363475177305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76478.82000000001</v>
      </c>
      <c r="I8" s="18" t="n"/>
      <c r="J8" s="19" t="n">
        <v>0</v>
      </c>
      <c r="K8" s="18" t="n"/>
      <c r="L8" s="19" t="n">
        <v>3673.71</v>
      </c>
      <c r="M8" s="20" t="n"/>
      <c r="N8" s="19" t="n">
        <v>111497.25</v>
      </c>
      <c r="O8" s="20" t="inlineStr"/>
      <c r="P8" s="19" t="n">
        <v>0</v>
      </c>
      <c r="Q8" s="18" t="n">
        <v>0</v>
      </c>
      <c r="R8" s="19" t="n">
        <v>75717</v>
      </c>
      <c r="S8" s="18" t="n"/>
      <c r="T8" s="19" t="n">
        <v>90869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75024</v>
      </c>
      <c r="I13" s="80" t="n">
        <v>42280</v>
      </c>
      <c r="J13" s="79" t="n">
        <v>15833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86356</v>
      </c>
      <c r="I14" s="80" t="n">
        <v>50835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20454.21</v>
      </c>
      <c r="F15" s="34" t="n">
        <v>22343</v>
      </c>
      <c r="H15" s="80" t="n"/>
      <c r="I15" s="80" t="n">
        <v>87908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750</v>
      </c>
      <c r="F16" s="34" t="n">
        <v>22344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20000</v>
      </c>
      <c r="F17" s="34" t="n">
        <v>22345</v>
      </c>
      <c r="H17" s="72" t="n"/>
      <c r="K17" s="72" t="n"/>
    </row>
    <row r="18">
      <c r="A18" s="33" t="inlineStr">
        <is>
          <t>arjun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34000.14</v>
      </c>
      <c r="F18" s="34" t="n">
        <v>22346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4275.05</v>
      </c>
      <c r="F19" s="39" t="n">
        <v>22348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3000.38</v>
      </c>
      <c r="F20" s="79" t="n">
        <v>22351</v>
      </c>
      <c r="K20" s="72" t="n"/>
    </row>
    <row r="21">
      <c r="A21" s="33" t="inlineStr">
        <is>
          <t>Shyam Tran.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4788.34</v>
      </c>
      <c r="F21" s="35" t="n">
        <v>22352</v>
      </c>
      <c r="H21" s="71" t="n"/>
      <c r="K21" s="72" t="n"/>
      <c r="M21" s="72" t="n"/>
    </row>
    <row r="22">
      <c r="A22" s="33" t="inlineStr">
        <is>
          <t>dinesh</t>
        </is>
      </c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>
        <v>3600.28</v>
      </c>
      <c r="F22" s="79" t="n">
        <v>22353</v>
      </c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750.3174863909848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350.3199866977053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7.939982269503546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63262.14</v>
      </c>
      <c r="I8" s="18" t="n"/>
      <c r="J8" s="19" t="n">
        <v>4500</v>
      </c>
      <c r="K8" s="18" t="n"/>
      <c r="L8" s="19" t="n">
        <v>2592.71</v>
      </c>
      <c r="M8" s="20" t="n"/>
      <c r="N8" s="19" t="n">
        <v>119702.47</v>
      </c>
      <c r="O8" s="20" t="inlineStr"/>
      <c r="P8" s="19" t="n">
        <v>0</v>
      </c>
      <c r="Q8" s="18" t="n">
        <v>0</v>
      </c>
      <c r="R8" s="19" t="n">
        <v>109081</v>
      </c>
      <c r="S8" s="18" t="n"/>
      <c r="T8" s="19" t="n">
        <v>72050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84284.22</v>
      </c>
      <c r="I13" s="80" t="n">
        <v>39492.13</v>
      </c>
      <c r="J13" s="79" t="n">
        <v>895.63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106653</v>
      </c>
      <c r="I14" s="80" t="n">
        <v>70859.05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22419.89</v>
      </c>
      <c r="F15" s="34" t="n">
        <v>22354</v>
      </c>
      <c r="H15" s="80" t="n"/>
      <c r="I15" s="80" t="n">
        <v>68986.28999999999</v>
      </c>
      <c r="J15" s="80" t="n"/>
      <c r="K15" s="72" t="n"/>
    </row>
    <row r="16">
      <c r="A16" s="33" t="inlineStr">
        <is>
          <t>arjun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44128.92</v>
      </c>
      <c r="F16" s="34" t="n">
        <v>22356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mk Soler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3500.45</v>
      </c>
      <c r="F17" s="34" t="n">
        <v>22360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613.7658103333016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439.344329896907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77.91666666666667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78985.17999999999</v>
      </c>
      <c r="I8" s="18" t="n"/>
      <c r="J8" s="19" t="n">
        <v>4700</v>
      </c>
      <c r="K8" s="18" t="n"/>
      <c r="L8" s="19" t="n">
        <v>4951</v>
      </c>
      <c r="M8" s="20" t="n"/>
      <c r="N8" s="19" t="n">
        <v>74505.78999999999</v>
      </c>
      <c r="O8" s="20" t="inlineStr"/>
      <c r="P8" s="19" t="n">
        <v>0</v>
      </c>
      <c r="Q8" s="18" t="n">
        <v>0</v>
      </c>
      <c r="R8" s="19" t="n">
        <v>102184</v>
      </c>
      <c r="S8" s="18" t="n"/>
      <c r="T8" s="19" t="n">
        <v>99260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78047</v>
      </c>
      <c r="I13" s="80" t="n">
        <v>78705</v>
      </c>
      <c r="J13" s="79" t="n">
        <v>8789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83266</v>
      </c>
      <c r="I14" s="80" t="n">
        <v>33323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21212.89</v>
      </c>
      <c r="F15" s="34" t="n">
        <v>22363</v>
      </c>
      <c r="H15" s="80" t="n"/>
      <c r="I15" s="80" t="n">
        <v>82462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29065.66</v>
      </c>
      <c r="F16" s="34" t="n">
        <v>22364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arjun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22429.81</v>
      </c>
      <c r="F17" s="34" t="n">
        <v>22365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3502.85</v>
      </c>
      <c r="F18" s="34" t="n">
        <v>22366</v>
      </c>
    </row>
    <row r="19">
      <c r="A19" s="33" t="inlineStr">
        <is>
          <t>monu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9199.66</v>
      </c>
      <c r="F19" s="39" t="n">
        <v>22367</v>
      </c>
      <c r="K19" s="72" t="n"/>
      <c r="M19" s="72" t="n"/>
    </row>
    <row r="20">
      <c r="A20" s="33" t="inlineStr">
        <is>
          <t>arjun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3349.49</v>
      </c>
      <c r="F20" s="79" t="n">
        <v>22368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559.218794766498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223.9285001662788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17.00354609929078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45707.33</v>
      </c>
      <c r="I8" s="18" t="n"/>
      <c r="J8" s="19" t="n">
        <v>0</v>
      </c>
      <c r="K8" s="18" t="n"/>
      <c r="L8" s="19" t="n">
        <v>5812.35</v>
      </c>
      <c r="M8" s="20" t="n"/>
      <c r="N8" s="19" t="n">
        <v>94667.42</v>
      </c>
      <c r="O8" s="20" t="inlineStr"/>
      <c r="P8" s="19" t="n">
        <v>0</v>
      </c>
      <c r="Q8" s="18" t="n">
        <v>0</v>
      </c>
      <c r="R8" s="19" t="n">
        <v>75174</v>
      </c>
      <c r="S8" s="18" t="n"/>
      <c r="T8" s="19" t="n">
        <v>77561.50999999999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59593</v>
      </c>
      <c r="I13" s="80" t="n">
        <v>48118</v>
      </c>
      <c r="J13" s="79" t="n">
        <v>1918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89000</v>
      </c>
      <c r="I14" s="80" t="n">
        <v>47430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8799.98</v>
      </c>
      <c r="F15" s="34" t="n">
        <v>22369</v>
      </c>
      <c r="H15" s="80" t="n"/>
      <c r="I15" s="80" t="n">
        <v>52864</v>
      </c>
      <c r="J15" s="80" t="n"/>
      <c r="K15" s="72" t="n"/>
    </row>
    <row r="16">
      <c r="A16" s="33" t="inlineStr">
        <is>
          <t>arjun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43099.63</v>
      </c>
      <c r="F16" s="34" t="n">
        <v>22370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sayar School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3957</v>
      </c>
      <c r="F17" s="34" t="n">
        <v>22371</v>
      </c>
      <c r="H17" s="72" t="n"/>
      <c r="K17" s="72" t="n"/>
    </row>
    <row r="18">
      <c r="A18" s="33" t="inlineStr">
        <is>
          <t>vandana School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12458.9</v>
      </c>
      <c r="F18" s="34" t="n">
        <v>22372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2000</v>
      </c>
      <c r="F19" s="39" t="n">
        <v>22375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1746</v>
      </c>
      <c r="F20" s="79" t="n">
        <v>22377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487.0147645879094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369.3635295421793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171.2854609929078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70327.63</v>
      </c>
      <c r="I8" s="18" t="n"/>
      <c r="J8" s="19" t="n">
        <v>250</v>
      </c>
      <c r="K8" s="18" t="n"/>
      <c r="L8" s="19" t="n">
        <v>12219.46</v>
      </c>
      <c r="M8" s="20" t="n"/>
      <c r="N8" s="19" t="n">
        <v>76724.41</v>
      </c>
      <c r="O8" s="20" t="inlineStr"/>
      <c r="P8" s="19" t="n">
        <v>0</v>
      </c>
      <c r="Q8" s="18" t="n">
        <v>0</v>
      </c>
      <c r="R8" s="19" t="n">
        <v>99505</v>
      </c>
      <c r="S8" s="18" t="n"/>
      <c r="T8" s="19" t="n">
        <v>39958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79484</v>
      </c>
      <c r="I13" s="80" t="n">
        <v>41303</v>
      </c>
      <c r="J13" s="79" t="n">
        <v>19321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71962</v>
      </c>
      <c r="I14" s="80" t="n">
        <v>15498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9000</v>
      </c>
      <c r="F15" s="34" t="n">
        <v>22378</v>
      </c>
      <c r="H15" s="80" t="n"/>
      <c r="I15" s="80" t="n">
        <v>71417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20025.71</v>
      </c>
      <c r="F16" s="34" t="n">
        <v>22379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3190</v>
      </c>
      <c r="F17" s="34" t="n">
        <v>22381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3611.19</v>
      </c>
      <c r="F18" s="34" t="n">
        <v>22384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570.5342565180022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375.7852566234343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84.75177304964539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70008.78999999999</v>
      </c>
      <c r="I8" s="18" t="n"/>
      <c r="J8" s="19" t="n">
        <v>820</v>
      </c>
      <c r="K8" s="18" t="n"/>
      <c r="L8" s="19" t="n">
        <v>11648.55</v>
      </c>
      <c r="M8" s="20" t="n"/>
      <c r="N8" s="19" t="n">
        <v>72505.89</v>
      </c>
      <c r="O8" s="20" t="inlineStr"/>
      <c r="P8" s="19" t="n">
        <v>0</v>
      </c>
      <c r="Q8" s="18" t="n">
        <v>0</v>
      </c>
      <c r="R8" s="19" t="n">
        <v>98199</v>
      </c>
      <c r="S8" s="18" t="n"/>
      <c r="T8" s="19" t="n">
        <v>44197.77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76777</v>
      </c>
      <c r="I13" s="80" t="n">
        <v>48366</v>
      </c>
      <c r="J13" s="79" t="n">
        <v>9560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80121</v>
      </c>
      <c r="I14" s="80" t="n">
        <v>47530</v>
      </c>
      <c r="J14" s="79" t="n"/>
      <c r="K14" s="74" t="n"/>
      <c r="L14" s="74" t="n"/>
      <c r="M14" s="74" t="n"/>
    </row>
    <row r="15">
      <c r="A15" s="33" t="inlineStr">
        <is>
          <t>arjun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34499.31</v>
      </c>
      <c r="F15" s="34" t="n">
        <v>22385</v>
      </c>
      <c r="H15" s="80" t="n"/>
      <c r="I15" s="80" t="n">
        <v>35026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4697.23</v>
      </c>
      <c r="F16" s="34" t="n">
        <v>22386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564.8763632890841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411.229309389203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9.645390070921986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85292.16</v>
      </c>
      <c r="I8" s="18" t="n"/>
      <c r="J8" s="19" t="n">
        <v>0</v>
      </c>
      <c r="K8" s="18" t="n"/>
      <c r="L8" s="19" t="n">
        <v>5887.71</v>
      </c>
      <c r="M8" s="20" t="n"/>
      <c r="N8" s="19" t="n">
        <v>77824.64999999999</v>
      </c>
      <c r="O8" s="20" t="inlineStr"/>
      <c r="P8" s="19" t="n">
        <v>0</v>
      </c>
      <c r="Q8" s="18" t="n">
        <v>0</v>
      </c>
      <c r="R8" s="19" t="n">
        <v>91742</v>
      </c>
      <c r="S8" s="18" t="n"/>
      <c r="T8" s="19" t="n">
        <v>63214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85934</v>
      </c>
      <c r="I13" s="80" t="n">
        <v>26789</v>
      </c>
      <c r="J13" s="79" t="n">
        <v>1088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76972</v>
      </c>
      <c r="I14" s="80" t="n">
        <v>51963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20445.19</v>
      </c>
      <c r="F15" s="34" t="n">
        <v>22387</v>
      </c>
      <c r="H15" s="80" t="n"/>
      <c r="I15" s="80" t="n">
        <v>81215</v>
      </c>
      <c r="J15" s="80" t="n"/>
      <c r="K15" s="72" t="n"/>
    </row>
    <row r="16">
      <c r="A16" s="33" t="inlineStr">
        <is>
          <t>arjun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31715.12</v>
      </c>
      <c r="F16" s="34" t="n">
        <v>22388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Shyam Tran.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3563.29</v>
      </c>
      <c r="F17" s="34" t="n">
        <v>22389</v>
      </c>
      <c r="H17" s="72" t="n"/>
      <c r="K17" s="72" t="n"/>
    </row>
    <row r="18">
      <c r="A18" s="33" t="inlineStr">
        <is>
          <t>arjun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1899.68</v>
      </c>
      <c r="F18" s="34" t="n">
        <v>22391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453.8927514086527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748.1877840594168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24.86702127659575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82836.09</v>
      </c>
      <c r="I8" s="18" t="n"/>
      <c r="J8" s="19" t="n">
        <v>2780</v>
      </c>
      <c r="K8" s="18" t="n"/>
      <c r="L8" s="19" t="n">
        <v>12413</v>
      </c>
      <c r="M8" s="20" t="n"/>
      <c r="N8" s="19" t="n">
        <v>97752.06</v>
      </c>
      <c r="O8" s="20" t="inlineStr"/>
      <c r="P8" s="19" t="n">
        <v>0</v>
      </c>
      <c r="Q8" s="18" t="n">
        <v>0</v>
      </c>
      <c r="R8" s="19" t="n">
        <v>114525</v>
      </c>
      <c r="S8" s="18" t="n"/>
      <c r="T8" s="19" t="n">
        <v>27946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86061</v>
      </c>
      <c r="I13" s="80" t="n">
        <v>35818</v>
      </c>
      <c r="J13" s="79" t="n">
        <v>2805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82232</v>
      </c>
      <c r="I14" s="80" t="n">
        <v>32733</v>
      </c>
      <c r="J14" s="79" t="n"/>
      <c r="K14" s="74" t="n"/>
      <c r="L14" s="74" t="n"/>
      <c r="M14" s="74" t="n"/>
    </row>
    <row r="15">
      <c r="A15" s="33" t="inlineStr">
        <is>
          <t>vandana School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11933.88</v>
      </c>
      <c r="F15" s="34" t="n">
        <v>22393</v>
      </c>
      <c r="H15" s="80" t="n"/>
      <c r="I15" s="80" t="n">
        <v>98604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8412.08</v>
      </c>
      <c r="F16" s="34" t="n">
        <v>22397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3899.77</v>
      </c>
      <c r="F17" s="34" t="n">
        <v>22398</v>
      </c>
      <c r="H17" s="72" t="n"/>
      <c r="K17" s="72" t="n"/>
    </row>
    <row r="18">
      <c r="A18" s="33" t="inlineStr">
        <is>
          <t>mool Chand yadav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399.99</v>
      </c>
      <c r="F18" s="34" t="n">
        <v>22399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467.9842421927228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617.6790821416694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51.66666666666667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75770.33</v>
      </c>
      <c r="I8" s="18" t="n"/>
      <c r="J8" s="19" t="n">
        <v>2870</v>
      </c>
      <c r="K8" s="18" t="n"/>
      <c r="L8" s="19" t="n">
        <v>1170</v>
      </c>
      <c r="M8" s="20" t="n"/>
      <c r="N8" s="19" t="n">
        <v>98523.62</v>
      </c>
      <c r="O8" s="20" t="inlineStr"/>
      <c r="P8" s="19" t="n">
        <v>0</v>
      </c>
      <c r="Q8" s="18" t="n">
        <v>0</v>
      </c>
      <c r="R8" s="19" t="n">
        <v>110051</v>
      </c>
      <c r="S8" s="18" t="n"/>
      <c r="T8" s="19" t="n">
        <v>51838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76882</v>
      </c>
      <c r="I13" s="80" t="n">
        <v>66243</v>
      </c>
      <c r="J13" s="79" t="n">
        <v>5828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77867</v>
      </c>
      <c r="I14" s="80" t="n">
        <v>47298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19726.22</v>
      </c>
      <c r="F15" s="34" t="n">
        <v>22401</v>
      </c>
      <c r="H15" s="80" t="n"/>
      <c r="I15" s="80" t="n">
        <v>66105</v>
      </c>
      <c r="J15" s="80" t="n"/>
      <c r="K15" s="72" t="n"/>
    </row>
    <row r="16">
      <c r="A16" s="33" t="inlineStr">
        <is>
          <t>arjun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4984.1</v>
      </c>
      <c r="F16" s="34" t="n">
        <v>22402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arjun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24226.79</v>
      </c>
      <c r="F17" s="34" t="n">
        <v>22405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2400.48</v>
      </c>
      <c r="F18" s="34" t="n">
        <v>22407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641.4277146404356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627.3339319365924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14.54787234042553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64073.12</v>
      </c>
      <c r="I8" s="18" t="n"/>
      <c r="J8" s="19" t="n">
        <v>3026</v>
      </c>
      <c r="K8" s="18" t="n"/>
      <c r="L8" s="19" t="n">
        <v>14500</v>
      </c>
      <c r="M8" s="20" t="n"/>
      <c r="N8" s="19" t="n">
        <v>81988.72</v>
      </c>
      <c r="O8" s="20" t="inlineStr"/>
      <c r="P8" s="19" t="n">
        <v>0</v>
      </c>
      <c r="Q8" s="18" t="n">
        <v>0</v>
      </c>
      <c r="R8" s="19" t="n">
        <v>122397</v>
      </c>
      <c r="S8" s="18" t="n"/>
      <c r="T8" s="19" t="n">
        <v>32500.47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76719</v>
      </c>
      <c r="I13" s="80" t="n">
        <v>53042</v>
      </c>
      <c r="J13" s="79" t="n">
        <v>1641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92582</v>
      </c>
      <c r="I14" s="80" t="n">
        <v>66131</v>
      </c>
      <c r="J14" s="79" t="n"/>
      <c r="K14" s="74" t="n"/>
      <c r="L14" s="74" t="n"/>
      <c r="M14" s="74" t="n"/>
    </row>
    <row r="15">
      <c r="A15" s="33" t="inlineStr">
        <is>
          <t>arjun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29500.47</v>
      </c>
      <c r="F15" s="34" t="n">
        <v>22408</v>
      </c>
      <c r="H15" s="80" t="n"/>
      <c r="I15" s="80" t="n">
        <v>28370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762.8969343902206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608.4089568783949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10.09751773049645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58938.13</v>
      </c>
      <c r="I8" s="18" t="n"/>
      <c r="J8" s="19" t="n">
        <v>0</v>
      </c>
      <c r="K8" s="18" t="n"/>
      <c r="L8" s="19" t="n">
        <v>11158.5</v>
      </c>
      <c r="M8" s="20" t="n"/>
      <c r="N8" s="19" t="n">
        <v>72496.14</v>
      </c>
      <c r="O8" s="20" t="inlineStr"/>
      <c r="P8" s="19" t="n">
        <v>0</v>
      </c>
      <c r="Q8" s="18" t="n">
        <v>0</v>
      </c>
      <c r="R8" s="19" t="n">
        <v>123786</v>
      </c>
      <c r="S8" s="18" t="n"/>
      <c r="T8" s="19" t="n">
        <v>81465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77855</v>
      </c>
      <c r="I13" s="80" t="n">
        <v>60365</v>
      </c>
      <c r="J13" s="79" t="n">
        <v>1139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92047</v>
      </c>
      <c r="I14" s="80" t="n">
        <v>33715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20549.83</v>
      </c>
      <c r="F15" s="34" t="n">
        <v>22409</v>
      </c>
      <c r="H15" s="80" t="n"/>
      <c r="I15" s="80" t="n">
        <v>82723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523.55</v>
      </c>
      <c r="F16" s="34" t="n">
        <v>22410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sayar School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14013.22</v>
      </c>
      <c r="F17" s="34" t="n">
        <v>22411</v>
      </c>
      <c r="H17" s="72" t="n"/>
      <c r="K17" s="72" t="n"/>
    </row>
    <row r="18">
      <c r="A18" s="33" t="inlineStr">
        <is>
          <t>Piploda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21644.98</v>
      </c>
      <c r="F18" s="34" t="n">
        <v>22412</v>
      </c>
    </row>
    <row r="19">
      <c r="A19" s="33" t="inlineStr">
        <is>
          <t>monu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8011.53</v>
      </c>
      <c r="F19" s="39" t="n">
        <v>22414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4601.61</v>
      </c>
      <c r="F20" s="79" t="n">
        <v>22416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367.2906503676822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697.6552045227802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6.98581560283688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49695.77</v>
      </c>
      <c r="I8" s="18" t="n"/>
      <c r="J8" s="19" t="n">
        <v>0</v>
      </c>
      <c r="K8" s="18" t="n"/>
      <c r="L8" s="19" t="n">
        <v>36046.09</v>
      </c>
      <c r="M8" s="20" t="n"/>
      <c r="N8" s="19" t="n">
        <v>71820.74000000001</v>
      </c>
      <c r="O8" s="20" t="inlineStr"/>
      <c r="P8" s="19" t="n">
        <v>0</v>
      </c>
      <c r="Q8" s="18" t="n">
        <v>0</v>
      </c>
      <c r="R8" s="19" t="n">
        <v>101658</v>
      </c>
      <c r="S8" s="18" t="n"/>
      <c r="T8" s="19" t="n">
        <v>64524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56449</v>
      </c>
      <c r="I13" s="80" t="n">
        <v>55579</v>
      </c>
      <c r="J13" s="79" t="n">
        <v>788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90966</v>
      </c>
      <c r="I14" s="80" t="n">
        <v>61433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22417</v>
      </c>
      <c r="H15" s="80" t="n"/>
      <c r="I15" s="80" t="n">
        <v>58530</v>
      </c>
      <c r="J15" s="80" t="n"/>
      <c r="K15" s="72" t="n"/>
    </row>
    <row r="16">
      <c r="A16" s="33" t="inlineStr">
        <is>
          <t>indra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43999.92</v>
      </c>
      <c r="F16" s="34" t="n">
        <v>22419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643.9199503390317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242.1940139674094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6.728723404255319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73410.38</v>
      </c>
      <c r="I8" s="18" t="n"/>
      <c r="J8" s="19" t="n">
        <v>3650</v>
      </c>
      <c r="K8" s="18" t="n"/>
      <c r="L8" s="19" t="n">
        <v>451</v>
      </c>
      <c r="M8" s="20" t="n"/>
      <c r="N8" s="19" t="n">
        <v>78138.19</v>
      </c>
      <c r="O8" s="20" t="inlineStr"/>
      <c r="P8" s="19" t="n">
        <v>0</v>
      </c>
      <c r="Q8" s="18" t="n">
        <v>0</v>
      </c>
      <c r="R8" s="19" t="n">
        <v>90030</v>
      </c>
      <c r="S8" s="18" t="n"/>
      <c r="T8" s="19" t="n">
        <v>82306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73957</v>
      </c>
      <c r="I13" s="80" t="n">
        <v>42485</v>
      </c>
      <c r="J13" s="79" t="n">
        <v>759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84848</v>
      </c>
      <c r="I14" s="80" t="n">
        <v>58843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20815.95</v>
      </c>
      <c r="F15" s="34" t="n">
        <v>22423</v>
      </c>
      <c r="H15" s="80" t="n"/>
      <c r="I15" s="80" t="n">
        <v>67095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22424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8189.21</v>
      </c>
      <c r="F17" s="34" t="n">
        <v>22425</v>
      </c>
      <c r="H17" s="72" t="n"/>
      <c r="K17" s="72" t="n"/>
    </row>
    <row r="18">
      <c r="A18" s="33" t="inlineStr">
        <is>
          <t>indra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21618.93</v>
      </c>
      <c r="F18" s="34" t="n">
        <v>22426</v>
      </c>
    </row>
    <row r="19">
      <c r="A19" s="33" t="inlineStr">
        <is>
          <t>dinesh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3084.27</v>
      </c>
      <c r="F19" s="39" t="n">
        <v>22427</v>
      </c>
      <c r="K19" s="72" t="n"/>
      <c r="M19" s="72" t="n"/>
    </row>
    <row r="20">
      <c r="A20" s="33" t="inlineStr">
        <is>
          <t>Shyam Tran.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2675.62</v>
      </c>
      <c r="F20" s="79" t="n">
        <v>22428</v>
      </c>
      <c r="K20" s="72" t="n"/>
    </row>
    <row r="21">
      <c r="A21" s="33" t="inlineStr">
        <is>
          <t>Shyam Tran.</t>
        </is>
      </c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>
        <v>3321.42</v>
      </c>
      <c r="F21" s="35" t="n">
        <v>22429</v>
      </c>
      <c r="H21" s="71" t="n"/>
      <c r="K21" s="72" t="n"/>
      <c r="M21" s="72" t="n"/>
    </row>
    <row r="22">
      <c r="A22" s="33" t="inlineStr">
        <is>
          <t>monu</t>
        </is>
      </c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>
        <v>2599.85</v>
      </c>
      <c r="F22" s="79" t="n">
        <v>22430</v>
      </c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721.5695349059307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756.1074603702473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77.24290780141844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90246.06</v>
      </c>
      <c r="I8" s="18" t="n"/>
      <c r="J8" s="19" t="n">
        <v>300</v>
      </c>
      <c r="K8" s="18" t="n"/>
      <c r="L8" s="19" t="n">
        <v>7510</v>
      </c>
      <c r="M8" s="20" t="n"/>
      <c r="N8" s="19" t="n">
        <v>72983.03</v>
      </c>
      <c r="O8" s="20" t="inlineStr"/>
      <c r="P8" s="19" t="n">
        <v>0</v>
      </c>
      <c r="Q8" s="18" t="n">
        <v>0</v>
      </c>
      <c r="R8" s="19" t="n">
        <v>134377</v>
      </c>
      <c r="S8" s="18" t="n"/>
      <c r="T8" s="19" t="n">
        <v>54120.91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91851</v>
      </c>
      <c r="I13" s="80" t="n">
        <v>55774</v>
      </c>
      <c r="J13" s="79" t="n">
        <v>8713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89152</v>
      </c>
      <c r="I14" s="80" t="n">
        <v>52251</v>
      </c>
      <c r="J14" s="79" t="n"/>
      <c r="K14" s="74" t="n"/>
      <c r="L14" s="74" t="n"/>
      <c r="M14" s="74" t="n"/>
    </row>
    <row r="15">
      <c r="A15" s="33" t="inlineStr">
        <is>
          <t>indra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32711.95</v>
      </c>
      <c r="F15" s="34" t="n">
        <v>22431</v>
      </c>
      <c r="H15" s="80" t="n"/>
      <c r="I15" s="80" t="n">
        <v>61796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3308.96</v>
      </c>
      <c r="F16" s="34" t="n">
        <v>22433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655.3461560500431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307.7028489081034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32.6418439716312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58516.94</v>
      </c>
      <c r="I8" s="18" t="n"/>
      <c r="J8" s="19" t="n">
        <v>0</v>
      </c>
      <c r="K8" s="18" t="n"/>
      <c r="L8" s="19" t="n">
        <v>1534</v>
      </c>
      <c r="M8" s="20" t="n"/>
      <c r="N8" s="19" t="n">
        <v>70525.89999999999</v>
      </c>
      <c r="O8" s="20" t="inlineStr"/>
      <c r="P8" s="19" t="n">
        <v>0</v>
      </c>
      <c r="Q8" s="18" t="n">
        <v>0</v>
      </c>
      <c r="R8" s="19" t="n">
        <v>96271</v>
      </c>
      <c r="S8" s="18" t="n"/>
      <c r="T8" s="19" t="n">
        <v>58323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59685</v>
      </c>
      <c r="I13" s="80" t="n">
        <v>39554</v>
      </c>
      <c r="J13" s="79" t="n">
        <v>3682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87896</v>
      </c>
      <c r="I14" s="80" t="n">
        <v>36538</v>
      </c>
      <c r="J14" s="79" t="n"/>
      <c r="K14" s="74" t="n"/>
      <c r="L14" s="74" t="n"/>
      <c r="M14" s="74" t="n"/>
    </row>
    <row r="15">
      <c r="A15" s="33" t="inlineStr">
        <is>
          <t>mk Soler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3440.69</v>
      </c>
      <c r="F15" s="34" t="n">
        <v>22434</v>
      </c>
      <c r="H15" s="80" t="n"/>
      <c r="I15" s="80" t="n">
        <v>57816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18905.39</v>
      </c>
      <c r="F16" s="34" t="n">
        <v>22435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23683.73</v>
      </c>
      <c r="F17" s="34" t="n">
        <v>22436</v>
      </c>
      <c r="H17" s="72" t="n"/>
      <c r="K17" s="72" t="n"/>
    </row>
    <row r="18">
      <c r="A18" s="33" t="inlineStr">
        <is>
          <t>dinesh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3804.15</v>
      </c>
      <c r="F18" s="34" t="n">
        <v>22437</v>
      </c>
    </row>
    <row r="19">
      <c r="A19" s="33" t="inlineStr">
        <is>
          <t>Shyam Tran.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4699.03</v>
      </c>
      <c r="F19" s="39" t="n">
        <v>22438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670.2191385732021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513.8117060192883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22.24290780141844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70109.41</v>
      </c>
      <c r="I8" s="18" t="n"/>
      <c r="J8" s="19" t="n">
        <v>0</v>
      </c>
      <c r="K8" s="18" t="n"/>
      <c r="L8" s="19" t="n">
        <v>16250.59</v>
      </c>
      <c r="M8" s="20" t="n"/>
      <c r="N8" s="19" t="n">
        <v>116068.53</v>
      </c>
      <c r="O8" s="20" t="inlineStr"/>
      <c r="P8" s="19" t="n">
        <v>0</v>
      </c>
      <c r="Q8" s="18" t="n">
        <v>0</v>
      </c>
      <c r="R8" s="19" t="n">
        <v>114225</v>
      </c>
      <c r="S8" s="18" t="n"/>
      <c r="T8" s="19" t="n">
        <v>43220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90393</v>
      </c>
      <c r="I13" s="80" t="n">
        <v>87814</v>
      </c>
      <c r="J13" s="79" t="n">
        <v>2509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107743</v>
      </c>
      <c r="I14" s="80" t="n">
        <v>41934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2651.23</v>
      </c>
      <c r="F15" s="34" t="n">
        <v>22439</v>
      </c>
      <c r="H15" s="80" t="n"/>
      <c r="I15" s="80" t="n">
        <v>29490</v>
      </c>
      <c r="J15" s="80" t="n"/>
      <c r="K15" s="72" t="n"/>
    </row>
    <row r="16">
      <c r="A16" s="33" t="inlineStr">
        <is>
          <t>indra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22000.41</v>
      </c>
      <c r="F16" s="34" t="n">
        <v>22440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indra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3157.35</v>
      </c>
      <c r="F17" s="34" t="n">
        <v>22441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2463.63</v>
      </c>
      <c r="F18" s="34" t="n">
        <v>22442</v>
      </c>
    </row>
    <row r="19">
      <c r="A19" s="33" t="inlineStr">
        <is>
          <t>Piploda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8143.25</v>
      </c>
      <c r="F19" s="39" t="n">
        <v>22443</v>
      </c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801.398280966479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311.8166056978162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105.9663120567376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72740.17999999999</v>
      </c>
      <c r="I8" s="18" t="n"/>
      <c r="J8" s="19" t="n">
        <v>4500</v>
      </c>
      <c r="K8" s="18" t="n"/>
      <c r="L8" s="19" t="n">
        <v>2679</v>
      </c>
      <c r="M8" s="20" t="n"/>
      <c r="N8" s="19" t="n">
        <v>120464.13</v>
      </c>
      <c r="O8" s="20" t="inlineStr"/>
      <c r="P8" s="19" t="n">
        <v>0</v>
      </c>
      <c r="Q8" s="18" t="n">
        <v>0</v>
      </c>
      <c r="R8" s="19" t="n">
        <v>121746.69</v>
      </c>
      <c r="S8" s="18" t="n"/>
      <c r="T8" s="19" t="n">
        <v>50839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89818</v>
      </c>
      <c r="I13" s="80" t="n">
        <v>63870</v>
      </c>
      <c r="J13" s="79" t="n">
        <v>11953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112698</v>
      </c>
      <c r="I14" s="80" t="n">
        <v>33437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20814.15</v>
      </c>
      <c r="F15" s="34" t="n">
        <v>22444</v>
      </c>
      <c r="H15" s="80" t="n"/>
      <c r="I15" s="80" t="n">
        <v>61193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1050</v>
      </c>
      <c r="F16" s="34" t="n">
        <v>22445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indra devi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26725.15</v>
      </c>
      <c r="F17" s="34" t="n">
        <v>22446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817.8914525833253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243.4229686287551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8.838652482269504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39128.79</v>
      </c>
      <c r="I8" s="18" t="n"/>
      <c r="J8" s="19" t="n">
        <v>0</v>
      </c>
      <c r="K8" s="18" t="n"/>
      <c r="L8" s="19" t="n">
        <v>7657.67</v>
      </c>
      <c r="M8" s="20" t="n"/>
      <c r="N8" s="19" t="n">
        <v>51796.07</v>
      </c>
      <c r="O8" s="20" t="inlineStr"/>
      <c r="P8" s="19" t="n">
        <v>0</v>
      </c>
      <c r="Q8" s="18" t="n">
        <v>0</v>
      </c>
      <c r="R8" s="19" t="n">
        <v>108294</v>
      </c>
      <c r="S8" s="18" t="n"/>
      <c r="T8" s="19" t="n">
        <v>7129.27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70978</v>
      </c>
      <c r="I13" s="80" t="n">
        <v>25514</v>
      </c>
      <c r="J13" s="79" t="n">
        <v>997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76876</v>
      </c>
      <c r="I14" s="80" t="n">
        <v>19647</v>
      </c>
      <c r="J14" s="79" t="n"/>
      <c r="K14" s="74" t="n"/>
      <c r="L14" s="74" t="n"/>
      <c r="M14" s="74" t="n"/>
    </row>
    <row r="15">
      <c r="A15" s="33" t="inlineStr">
        <is>
          <t>dinesh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3300.78</v>
      </c>
      <c r="F15" s="34" t="n">
        <v>22449</v>
      </c>
      <c r="H15" s="80" t="n"/>
      <c r="I15" s="80" t="n">
        <v>19992</v>
      </c>
      <c r="J15" s="80" t="n"/>
      <c r="K15" s="72" t="n"/>
    </row>
    <row r="16">
      <c r="A16" s="33" t="inlineStr">
        <is>
          <t>mk Soler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2999.54</v>
      </c>
      <c r="F16" s="34" t="n">
        <v>22450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523.55</v>
      </c>
      <c r="F17" s="34" t="n">
        <v>22451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754.317333588005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371.6746702139452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33.33333333333334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40710.35</v>
      </c>
      <c r="I8" s="18" t="n"/>
      <c r="J8" s="19" t="n">
        <v>2860</v>
      </c>
      <c r="K8" s="18" t="n"/>
      <c r="L8" s="19" t="n">
        <v>6377.52</v>
      </c>
      <c r="M8" s="20" t="n"/>
      <c r="N8" s="19" t="n">
        <v>55561.17</v>
      </c>
      <c r="O8" s="20" t="inlineStr"/>
      <c r="P8" s="19" t="n">
        <v>0</v>
      </c>
      <c r="Q8" s="18" t="n">
        <v>0</v>
      </c>
      <c r="R8" s="19" t="n">
        <v>112205</v>
      </c>
      <c r="S8" s="18" t="n"/>
      <c r="T8" s="19" t="n">
        <v>14216.62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53710</v>
      </c>
      <c r="I13" s="80" t="n">
        <v>52909</v>
      </c>
      <c r="J13" s="79" t="n">
        <v>3760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89415</v>
      </c>
      <c r="I14" s="80" t="n">
        <v>3732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10148.62</v>
      </c>
      <c r="F15" s="34" t="n">
        <v>22452</v>
      </c>
      <c r="H15" s="80" t="n"/>
      <c r="I15" s="80" t="n">
        <v>28405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779.686008977175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373.9411151757011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5.797872340425532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55625.83</v>
      </c>
      <c r="I8" s="18" t="n"/>
      <c r="J8" s="19" t="n">
        <v>0</v>
      </c>
      <c r="K8" s="18" t="n"/>
      <c r="L8" s="19" t="n">
        <v>5360.42</v>
      </c>
      <c r="M8" s="20" t="n"/>
      <c r="N8" s="19" t="n">
        <v>66418.60000000001</v>
      </c>
      <c r="O8" s="20" t="inlineStr"/>
      <c r="P8" s="19" t="n">
        <v>0</v>
      </c>
      <c r="Q8" s="18" t="n">
        <v>0</v>
      </c>
      <c r="R8" s="19" t="n">
        <v>111028.15</v>
      </c>
      <c r="S8" s="18" t="n"/>
      <c r="T8" s="19" t="n">
        <v>5000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71917</v>
      </c>
      <c r="I13" s="80" t="n">
        <v>49407</v>
      </c>
      <c r="J13" s="79" t="n">
        <v>654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88311</v>
      </c>
      <c r="I14" s="80" t="n">
        <v>6821</v>
      </c>
      <c r="J14" s="79" t="n"/>
      <c r="K14" s="74" t="n"/>
      <c r="L14" s="74" t="n"/>
      <c r="M14" s="74" t="n"/>
    </row>
    <row r="15">
      <c r="A15" s="33" t="n"/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/>
      <c r="F15" s="34" t="n"/>
      <c r="H15" s="80" t="n"/>
      <c r="I15" s="80" t="n">
        <v>26323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1001.056747206571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370.2648043454162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51.3031914893617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55711.5</v>
      </c>
      <c r="I8" s="18" t="n"/>
      <c r="J8" s="19" t="n">
        <v>7770</v>
      </c>
      <c r="K8" s="18" t="n"/>
      <c r="L8" s="19" t="n">
        <v>17319.37</v>
      </c>
      <c r="M8" s="20" t="n"/>
      <c r="N8" s="19" t="n">
        <v>95945.13</v>
      </c>
      <c r="O8" s="20" t="inlineStr"/>
      <c r="P8" s="19" t="n">
        <v>0</v>
      </c>
      <c r="Q8" s="18" t="n">
        <v>0</v>
      </c>
      <c r="R8" s="19" t="n">
        <v>144008</v>
      </c>
      <c r="S8" s="18" t="n"/>
      <c r="T8" s="19" t="n">
        <v>5872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84250</v>
      </c>
      <c r="I13" s="80" t="n">
        <v>45702</v>
      </c>
      <c r="J13" s="79" t="n">
        <v>5787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128884</v>
      </c>
      <c r="I14" s="80" t="n">
        <v>21887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5871.76</v>
      </c>
      <c r="F15" s="34" t="n">
        <v>22453</v>
      </c>
      <c r="H15" s="80" t="n"/>
      <c r="I15" s="80" t="n">
        <v>40117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365.404717791997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466.5886487085689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32.84574468085106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52503.52</v>
      </c>
      <c r="I8" s="18" t="n"/>
      <c r="J8" s="19" t="n">
        <v>0</v>
      </c>
      <c r="K8" s="18" t="n"/>
      <c r="L8" s="19" t="n">
        <v>3214</v>
      </c>
      <c r="M8" s="20" t="n"/>
      <c r="N8" s="19" t="n">
        <v>122710.6</v>
      </c>
      <c r="O8" s="20" t="inlineStr"/>
      <c r="P8" s="19" t="n">
        <v>0</v>
      </c>
      <c r="Q8" s="18" t="n">
        <v>0</v>
      </c>
      <c r="R8" s="19" t="n">
        <v>75857</v>
      </c>
      <c r="S8" s="18" t="n"/>
      <c r="T8" s="19" t="n">
        <v>34964.39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70652</v>
      </c>
      <c r="I13" s="80" t="n">
        <v>76363</v>
      </c>
      <c r="J13" s="79" t="n">
        <v>3705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75952</v>
      </c>
      <c r="I14" s="80" t="n">
        <v>23232</v>
      </c>
      <c r="J14" s="79" t="n"/>
      <c r="K14" s="74" t="n"/>
      <c r="L14" s="74" t="n"/>
      <c r="M14" s="74" t="n"/>
    </row>
    <row r="15">
      <c r="A15" s="33" t="inlineStr">
        <is>
          <t>indra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17463.75</v>
      </c>
      <c r="F15" s="34" t="n">
        <v>22456</v>
      </c>
      <c r="H15" s="80" t="n"/>
      <c r="I15" s="80" t="n">
        <v>39346</v>
      </c>
      <c r="J15" s="80" t="n"/>
      <c r="K15" s="72" t="n"/>
    </row>
    <row r="16">
      <c r="A16" s="33" t="inlineStr">
        <is>
          <t>indra devi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2300.35</v>
      </c>
      <c r="F16" s="34" t="n">
        <v>22459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monu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7000.29</v>
      </c>
      <c r="F17" s="34" t="n">
        <v>22460</v>
      </c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548.2983287174101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461.505952776854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188.0230496453901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37766.58</v>
      </c>
      <c r="I8" s="18" t="n"/>
      <c r="J8" s="19" t="n">
        <v>0</v>
      </c>
      <c r="K8" s="18" t="n"/>
      <c r="L8" s="19" t="n">
        <v>5312.27</v>
      </c>
      <c r="M8" s="20" t="n"/>
      <c r="N8" s="19" t="n">
        <v>72727.44</v>
      </c>
      <c r="O8" s="20" t="inlineStr"/>
      <c r="P8" s="19" t="n">
        <v>0</v>
      </c>
      <c r="Q8" s="18" t="n">
        <v>0</v>
      </c>
      <c r="R8" s="19" t="n">
        <v>107958</v>
      </c>
      <c r="S8" s="18" t="n"/>
      <c r="T8" s="19" t="n">
        <v>73572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56015</v>
      </c>
      <c r="I13" s="80" t="n">
        <v>35729</v>
      </c>
      <c r="J13" s="79" t="n">
        <v>21209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73006</v>
      </c>
      <c r="I14" s="80" t="n">
        <v>68649</v>
      </c>
      <c r="J14" s="79" t="n"/>
      <c r="K14" s="74" t="n"/>
      <c r="L14" s="74" t="n"/>
      <c r="M14" s="74" t="n"/>
    </row>
    <row r="15">
      <c r="A15" s="33" t="inlineStr">
        <is>
          <t>indra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21999.85</v>
      </c>
      <c r="F15" s="34" t="n">
        <v>22462</v>
      </c>
      <c r="H15" s="80" t="n"/>
      <c r="I15" s="80" t="n">
        <v>42729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17474.87</v>
      </c>
      <c r="F16" s="34" t="n">
        <v>22463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Piploda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18412.37</v>
      </c>
      <c r="F17" s="34" t="n">
        <v>22464</v>
      </c>
      <c r="H17" s="72" t="n"/>
      <c r="K17" s="72" t="n"/>
    </row>
    <row r="18">
      <c r="A18" s="33" t="inlineStr">
        <is>
          <t>Shyam Tran.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3389.85</v>
      </c>
      <c r="F18" s="34" t="n">
        <v>22465</v>
      </c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780.3389552096265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570.518989025607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11.95921985815603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58425.3</v>
      </c>
      <c r="I8" s="18" t="n"/>
      <c r="J8" s="19" t="n">
        <v>990</v>
      </c>
      <c r="K8" s="18" t="n"/>
      <c r="L8" s="19" t="n">
        <v>22394.31</v>
      </c>
      <c r="M8" s="20" t="n"/>
      <c r="N8" s="19" t="n">
        <v>85642.03</v>
      </c>
      <c r="O8" s="20" t="inlineStr"/>
      <c r="P8" s="19" t="n">
        <v>0</v>
      </c>
      <c r="Q8" s="18" t="n">
        <v>0</v>
      </c>
      <c r="R8" s="19" t="n">
        <v>112924</v>
      </c>
      <c r="S8" s="18" t="n"/>
      <c r="T8" s="19" t="n">
        <v>65265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77026</v>
      </c>
      <c r="I13" s="80" t="n">
        <v>47124</v>
      </c>
      <c r="J13" s="79" t="n">
        <v>1349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113518</v>
      </c>
      <c r="I14" s="80" t="n">
        <v>31485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41174.55</v>
      </c>
      <c r="F15" s="34" t="n">
        <v>22467</v>
      </c>
      <c r="H15" s="80" t="n"/>
      <c r="I15" s="80" t="n">
        <v>75139</v>
      </c>
      <c r="J15" s="80" t="n"/>
      <c r="K15" s="72" t="n"/>
    </row>
    <row r="16">
      <c r="A16" s="33" t="inlineStr">
        <is>
          <t>Shyam Tran.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2490</v>
      </c>
      <c r="F16" s="34" t="n">
        <v>22468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588.2665074968962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427.9629087684293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130.5851063829787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43104.09</v>
      </c>
      <c r="I8" s="18" t="n"/>
      <c r="J8" s="19" t="n">
        <v>610</v>
      </c>
      <c r="K8" s="18" t="n"/>
      <c r="L8" s="19" t="n">
        <v>260</v>
      </c>
      <c r="M8" s="20" t="n"/>
      <c r="N8" s="19" t="n">
        <v>61358.6</v>
      </c>
      <c r="O8" s="20" t="inlineStr"/>
      <c r="P8" s="19" t="n">
        <v>0</v>
      </c>
      <c r="Q8" s="18" t="n">
        <v>0</v>
      </c>
      <c r="R8" s="19" t="n">
        <v>106374</v>
      </c>
      <c r="S8" s="18" t="n"/>
      <c r="T8" s="19" t="n">
        <v>28377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56636</v>
      </c>
      <c r="I13" s="80" t="n">
        <v>43567</v>
      </c>
      <c r="J13" s="79" t="n">
        <v>14730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67899</v>
      </c>
      <c r="I14" s="80" t="n">
        <v>11440</v>
      </c>
      <c r="J14" s="79" t="n"/>
      <c r="K14" s="74" t="n"/>
      <c r="L14" s="74" t="n"/>
      <c r="M14" s="74" t="n"/>
    </row>
    <row r="15">
      <c r="A15" s="33" t="inlineStr">
        <is>
          <t>mool Chand yadav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19817.39</v>
      </c>
      <c r="F15" s="34" t="n">
        <v>22469</v>
      </c>
      <c r="H15" s="80" t="n"/>
      <c r="I15" s="80" t="n">
        <v>45812</v>
      </c>
      <c r="J15" s="80" t="n"/>
      <c r="K15" s="72" t="n"/>
    </row>
    <row r="16">
      <c r="A16" s="33" t="n"/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/>
      <c r="F16" s="34" t="n"/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579.4028459554961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345.6256290876843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50.63829787234042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70331.89999999999</v>
      </c>
      <c r="I8" s="18" t="n"/>
      <c r="J8" s="19" t="n">
        <v>120</v>
      </c>
      <c r="K8" s="18" t="n"/>
      <c r="L8" s="19" t="n">
        <v>12990.37</v>
      </c>
      <c r="M8" s="20" t="n"/>
      <c r="N8" s="19" t="n">
        <v>94172.03</v>
      </c>
      <c r="O8" s="20" t="inlineStr"/>
      <c r="P8" s="19" t="n">
        <v>0</v>
      </c>
      <c r="Q8" s="18" t="n">
        <v>0</v>
      </c>
      <c r="R8" s="19" t="n">
        <v>94979</v>
      </c>
      <c r="S8" s="18" t="n"/>
      <c r="T8" s="19" t="n">
        <v>30136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76784</v>
      </c>
      <c r="I13" s="80" t="n">
        <v>36344</v>
      </c>
      <c r="J13" s="79" t="n">
        <v>5712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95578</v>
      </c>
      <c r="I14" s="80" t="n">
        <v>40673</v>
      </c>
      <c r="J14" s="79" t="n"/>
      <c r="K14" s="74" t="n"/>
      <c r="L14" s="74" t="n"/>
      <c r="M14" s="74" t="n"/>
    </row>
    <row r="15">
      <c r="A15" s="33" t="inlineStr">
        <is>
          <t>indra devi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24000.37</v>
      </c>
      <c r="F15" s="34" t="n">
        <v>22472</v>
      </c>
      <c r="H15" s="80" t="n"/>
      <c r="I15" s="80" t="n">
        <v>47639</v>
      </c>
      <c r="J15" s="80" t="n"/>
      <c r="K15" s="72" t="n"/>
    </row>
    <row r="16">
      <c r="A16" s="33" t="inlineStr">
        <is>
          <t>dinesh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3555.17</v>
      </c>
      <c r="F16" s="34" t="n">
        <v>22473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470.2343233693058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648.5513136015963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112.0212765957447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43854.48</v>
      </c>
      <c r="I8" s="18" t="n"/>
      <c r="J8" s="19" t="n">
        <v>230</v>
      </c>
      <c r="K8" s="18" t="n"/>
      <c r="L8" s="19" t="n">
        <v>13713</v>
      </c>
      <c r="M8" s="20" t="n"/>
      <c r="N8" s="19" t="n">
        <v>66293.46000000001</v>
      </c>
      <c r="O8" s="20" t="inlineStr"/>
      <c r="P8" s="19" t="n">
        <v>0</v>
      </c>
      <c r="Q8" s="18" t="n">
        <v>0</v>
      </c>
      <c r="R8" s="19" t="n">
        <v>116901</v>
      </c>
      <c r="S8" s="18" t="n"/>
      <c r="T8" s="19" t="n">
        <v>95650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51538</v>
      </c>
      <c r="I13" s="80" t="n">
        <v>109927</v>
      </c>
      <c r="J13" s="79" t="n">
        <v>12636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77502</v>
      </c>
      <c r="I14" s="80" t="n">
        <v>41556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19792</v>
      </c>
      <c r="F15" s="34" t="n">
        <v>22475</v>
      </c>
      <c r="H15" s="80" t="n"/>
      <c r="I15" s="80" t="n">
        <v>43483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20000</v>
      </c>
      <c r="F16" s="34" t="n">
        <v>22476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mool Chand yadav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21436.59</v>
      </c>
      <c r="F17" s="34" t="n">
        <v>22477</v>
      </c>
      <c r="H17" s="72" t="n"/>
      <c r="K17" s="72" t="n"/>
    </row>
    <row r="18">
      <c r="A18" s="33" t="inlineStr">
        <is>
          <t>vandana School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12841.39</v>
      </c>
      <c r="F18" s="34" t="n">
        <v>22478</v>
      </c>
    </row>
    <row r="19">
      <c r="A19" s="33" t="inlineStr">
        <is>
          <t>indra devi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14000.59</v>
      </c>
      <c r="F19" s="39" t="n">
        <v>22479</v>
      </c>
      <c r="K19" s="72" t="n"/>
      <c r="M19" s="72" t="n"/>
    </row>
    <row r="20">
      <c r="A20" s="33" t="inlineStr">
        <is>
          <t>mool Chand yadav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4100.44</v>
      </c>
      <c r="F20" s="79" t="n">
        <v>22480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463.8522968197882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836.0127036913867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89.75177304964539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45010.92</v>
      </c>
      <c r="I8" s="18" t="n"/>
      <c r="J8" s="19" t="n">
        <v>6000</v>
      </c>
      <c r="K8" s="18" t="n"/>
      <c r="L8" s="19" t="n">
        <v>7000</v>
      </c>
      <c r="M8" s="20" t="n"/>
      <c r="N8" s="19" t="n">
        <v>90925.78999999999</v>
      </c>
      <c r="O8" s="20" t="inlineStr"/>
      <c r="P8" s="19" t="n">
        <v>0</v>
      </c>
      <c r="Q8" s="18" t="n">
        <v>0</v>
      </c>
      <c r="R8" s="19" t="n">
        <v>99608</v>
      </c>
      <c r="S8" s="18" t="n"/>
      <c r="T8" s="19" t="n">
        <v>120005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66778</v>
      </c>
      <c r="I13" s="80" t="n">
        <v>95653</v>
      </c>
      <c r="J13" s="79" t="n">
        <v>10124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70354</v>
      </c>
      <c r="I14" s="80" t="n">
        <v>69490</v>
      </c>
      <c r="J14" s="79" t="n"/>
      <c r="K14" s="74" t="n"/>
      <c r="L14" s="74" t="n"/>
      <c r="M14" s="74" t="n"/>
    </row>
    <row r="15">
      <c r="A15" s="33" t="inlineStr">
        <is>
          <t>sayar School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5412.69</v>
      </c>
      <c r="F15" s="34" t="n">
        <v>22481</v>
      </c>
      <c r="H15" s="80" t="n"/>
      <c r="I15" s="80" t="n">
        <v>56152</v>
      </c>
      <c r="J15" s="80" t="n"/>
      <c r="K15" s="72" t="n"/>
    </row>
    <row r="16">
      <c r="A16" s="33" t="inlineStr">
        <is>
          <t>Piploda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20500.29</v>
      </c>
      <c r="F16" s="34" t="n">
        <v>22482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inlineStr">
        <is>
          <t>dinesh</t>
        </is>
      </c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>
        <v>3550.69</v>
      </c>
      <c r="F17" s="34" t="n">
        <v>22483</v>
      </c>
      <c r="H17" s="72" t="n"/>
      <c r="K17" s="72" t="n"/>
    </row>
    <row r="18">
      <c r="A18" s="33" t="inlineStr">
        <is>
          <t>indra devi</t>
        </is>
      </c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>
        <v>3539.47</v>
      </c>
      <c r="F18" s="34" t="n">
        <v>22485</v>
      </c>
    </row>
    <row r="19">
      <c r="A19" s="33" t="inlineStr">
        <is>
          <t>mk Soler</t>
        </is>
      </c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>
        <v>2500.47</v>
      </c>
      <c r="F19" s="39" t="n">
        <v>22489</v>
      </c>
      <c r="K19" s="72" t="n"/>
      <c r="M19" s="72" t="n"/>
    </row>
    <row r="20">
      <c r="A20" s="33" t="inlineStr">
        <is>
          <t>kedia</t>
        </is>
      </c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>
        <v>50000</v>
      </c>
      <c r="F20" s="79" t="n">
        <v>22488</v>
      </c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ColWidth="9.109375" defaultRowHeight="14.4"/>
  <cols>
    <col width="13.109375" customWidth="1" style="69" min="1" max="1"/>
    <col width="12" customWidth="1" style="69" min="2" max="2"/>
    <col width="12" customWidth="1" style="69" min="4" max="4"/>
    <col width="13.109375" customWidth="1" style="69" min="5" max="5"/>
    <col width="14" customWidth="1" style="69" min="6" max="6"/>
    <col width="10.109375" customWidth="1" style="69" min="7" max="7"/>
    <col width="10.6640625" customWidth="1" style="69" min="8" max="8"/>
    <col width="9.5546875" customWidth="1" style="69" min="9" max="9"/>
    <col width="10.6640625" customWidth="1" style="69" min="10" max="14"/>
    <col width="13.44140625" customWidth="1" style="69" min="15" max="15"/>
    <col width="11.88671875" customWidth="1" style="69" min="16" max="16"/>
    <col width="10.6640625" customWidth="1" style="69" min="18" max="18"/>
    <col width="9.5546875" customWidth="1" style="69" min="19" max="19"/>
    <col width="10.6640625" customWidth="1" style="69" min="20" max="20"/>
    <col width="9.6640625" customWidth="1" style="69" min="21" max="21"/>
    <col width="12.5546875" customWidth="1" style="69" min="23" max="23"/>
    <col width="12" customWidth="1" style="69" min="24" max="24"/>
  </cols>
  <sheetData>
    <row r="1" ht="18.6" customHeight="1" s="69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18.6" customHeight="1" s="69">
      <c r="A2" s="47" t="inlineStr">
        <is>
          <t>Particular</t>
        </is>
      </c>
      <c r="B2" s="47" t="inlineStr">
        <is>
          <t>Qty</t>
        </is>
      </c>
      <c r="C2" s="47" t="inlineStr">
        <is>
          <t>Rate</t>
        </is>
      </c>
      <c r="D2" s="50" t="inlineStr">
        <is>
          <t>Amount</t>
        </is>
      </c>
      <c r="E2" s="56" t="inlineStr">
        <is>
          <t>Pos SBI</t>
        </is>
      </c>
      <c r="F2" s="57" t="n"/>
      <c r="G2" s="56" t="inlineStr">
        <is>
          <t>Paytm</t>
        </is>
      </c>
      <c r="H2" s="57" t="n"/>
      <c r="I2" s="56" t="inlineStr">
        <is>
          <t>HP Card</t>
        </is>
      </c>
      <c r="J2" s="57" t="n"/>
      <c r="K2" s="56" t="inlineStr">
        <is>
          <t>ICICI</t>
        </is>
      </c>
      <c r="L2" s="57" t="n"/>
      <c r="M2" s="56" t="inlineStr">
        <is>
          <t>phone pe</t>
        </is>
      </c>
      <c r="N2" s="57" t="n"/>
      <c r="O2" s="54" t="inlineStr">
        <is>
          <t>mobiquick</t>
        </is>
      </c>
      <c r="P2" s="55" t="n"/>
      <c r="Q2" s="56" t="inlineStr">
        <is>
          <t xml:space="preserve">CASH </t>
        </is>
      </c>
      <c r="R2" s="57" t="n"/>
      <c r="S2" s="56" t="inlineStr">
        <is>
          <t>Credit</t>
        </is>
      </c>
      <c r="T2" s="57" t="n"/>
      <c r="U2" s="45" t="inlineStr">
        <is>
          <t>Qty Diffrence</t>
        </is>
      </c>
      <c r="W2" s="2" t="n"/>
      <c r="X2" s="2" t="n"/>
    </row>
    <row r="3" ht="18.6" customHeight="1" s="69">
      <c r="A3" s="46" t="n"/>
      <c r="B3" s="46" t="n"/>
      <c r="C3" s="46" t="n"/>
      <c r="D3" s="51" t="n"/>
      <c r="E3" s="56" t="inlineStr">
        <is>
          <t>Qty</t>
        </is>
      </c>
      <c r="F3" s="41" t="inlineStr">
        <is>
          <t>Amount</t>
        </is>
      </c>
      <c r="G3" s="56" t="inlineStr">
        <is>
          <t>Qty</t>
        </is>
      </c>
      <c r="H3" s="41" t="inlineStr">
        <is>
          <t>Amount</t>
        </is>
      </c>
      <c r="I3" s="56" t="inlineStr">
        <is>
          <t>Qty</t>
        </is>
      </c>
      <c r="J3" s="41" t="inlineStr">
        <is>
          <t>Amount</t>
        </is>
      </c>
      <c r="K3" s="56" t="inlineStr">
        <is>
          <t>Qty</t>
        </is>
      </c>
      <c r="L3" s="41" t="inlineStr">
        <is>
          <t>Amount</t>
        </is>
      </c>
      <c r="M3" s="56" t="inlineStr">
        <is>
          <t>Qty</t>
        </is>
      </c>
      <c r="N3" s="41" t="inlineStr">
        <is>
          <t>Amount</t>
        </is>
      </c>
      <c r="O3" s="56" t="inlineStr">
        <is>
          <t>Qty</t>
        </is>
      </c>
      <c r="P3" s="41" t="inlineStr">
        <is>
          <t>Amount</t>
        </is>
      </c>
      <c r="Q3" s="56" t="inlineStr">
        <is>
          <t>Qty</t>
        </is>
      </c>
      <c r="R3" s="41" t="inlineStr">
        <is>
          <t>Amount</t>
        </is>
      </c>
      <c r="S3" s="56" t="inlineStr">
        <is>
          <t>Qty</t>
        </is>
      </c>
      <c r="T3" s="41" t="inlineStr">
        <is>
          <t>Amount</t>
        </is>
      </c>
      <c r="U3" s="46" t="n"/>
      <c r="W3" s="2" t="inlineStr">
        <is>
          <t>diesal</t>
        </is>
      </c>
      <c r="X3" s="2">
        <f>+SUMIFS(C15:C25,B15:B25,W3)</f>
        <v/>
      </c>
    </row>
    <row r="4" customFormat="1" s="2">
      <c r="A4" s="3" t="inlineStr">
        <is>
          <t>Petrol</t>
        </is>
      </c>
      <c r="B4" s="12">
        <f>+(H13+H14+H15)/$C$4</f>
        <v/>
      </c>
      <c r="C4" s="4" t="n">
        <v>104.71</v>
      </c>
      <c r="D4" s="5">
        <f>B4*C4</f>
        <v/>
      </c>
      <c r="E4" s="6" t="n">
        <v>0</v>
      </c>
      <c r="F4" s="7">
        <f>+E4*C4</f>
        <v/>
      </c>
      <c r="G4" s="9">
        <f>+(H8*60%)/$C$4</f>
        <v/>
      </c>
      <c r="H4" s="7">
        <f>+G4*C4</f>
        <v/>
      </c>
      <c r="I4" s="6">
        <f>J4/C4</f>
        <v/>
      </c>
      <c r="J4" s="7" t="n">
        <v>0</v>
      </c>
      <c r="K4" s="8">
        <f>+L8/$C$4</f>
        <v/>
      </c>
      <c r="L4" s="7">
        <f>+K4*C4</f>
        <v/>
      </c>
      <c r="M4" s="9">
        <f>+(N8*60%)/$C$4</f>
        <v/>
      </c>
      <c r="N4" s="7">
        <f>+M4*C4</f>
        <v/>
      </c>
      <c r="O4" s="9" t="n"/>
      <c r="P4" s="7">
        <f>+O4*C4</f>
        <v/>
      </c>
      <c r="Q4" s="6" t="n">
        <v>811.4730398242766</v>
      </c>
      <c r="R4" s="7">
        <f>+Q4*C4</f>
        <v/>
      </c>
      <c r="S4" s="10">
        <f>+X4</f>
        <v/>
      </c>
      <c r="T4" s="7">
        <f>+S4*C4</f>
        <v/>
      </c>
      <c r="U4" s="11">
        <f>+B4-E4-G4-Q4-S4-K4-I4-M4-O4</f>
        <v/>
      </c>
      <c r="W4" t="inlineStr">
        <is>
          <t>petrol</t>
        </is>
      </c>
      <c r="X4" s="2">
        <f>+SUMIFS(C15:C26,B15:B26,W4)</f>
        <v/>
      </c>
    </row>
    <row r="5" customFormat="1" s="2">
      <c r="A5" s="3" t="inlineStr">
        <is>
          <t>Diesal</t>
        </is>
      </c>
      <c r="B5" s="12">
        <f>+(I13+I14+I15)/$C$5</f>
        <v/>
      </c>
      <c r="C5" s="4" t="n">
        <v>90.20999999999999</v>
      </c>
      <c r="D5" s="5">
        <f>B5*C5</f>
        <v/>
      </c>
      <c r="E5" s="6" t="n">
        <v>0</v>
      </c>
      <c r="F5" s="7">
        <f>+E5*C5</f>
        <v/>
      </c>
      <c r="G5" s="6">
        <f>+(H8*40%)/$C$5</f>
        <v/>
      </c>
      <c r="H5" s="7">
        <f>+G5*C5</f>
        <v/>
      </c>
      <c r="I5" s="6">
        <f>+J8/C5</f>
        <v/>
      </c>
      <c r="J5" s="7">
        <f>+I5*C5</f>
        <v/>
      </c>
      <c r="K5" s="6" t="n">
        <v>0</v>
      </c>
      <c r="L5" s="7">
        <f>+K5*C5</f>
        <v/>
      </c>
      <c r="M5" s="6">
        <f>+(N8*40%)/$C$5</f>
        <v/>
      </c>
      <c r="N5" s="7">
        <f>+M5*C5</f>
        <v/>
      </c>
      <c r="O5" s="9">
        <f>+P8/C5</f>
        <v/>
      </c>
      <c r="P5" s="7">
        <f>+O5*C5</f>
        <v/>
      </c>
      <c r="Q5" s="6" t="n">
        <v>589.8951114067178</v>
      </c>
      <c r="R5" s="7">
        <f>+Q5*C5</f>
        <v/>
      </c>
      <c r="S5" s="10">
        <f>+X3</f>
        <v/>
      </c>
      <c r="T5" s="7">
        <f>+S5*C5</f>
        <v/>
      </c>
      <c r="U5" s="11">
        <f>+B5-E5-G5-Q5-S5-K5-I5-M5-O5</f>
        <v/>
      </c>
      <c r="W5" t="inlineStr">
        <is>
          <t>Petrol Power</t>
        </is>
      </c>
      <c r="X5" s="2">
        <f>+SUMIFS(C17:C27,B17:B27,W5)</f>
        <v/>
      </c>
    </row>
    <row r="6" customFormat="1" s="2">
      <c r="A6" s="3" t="inlineStr">
        <is>
          <t>Petrol Power</t>
        </is>
      </c>
      <c r="B6" s="12">
        <f>+(J13+J14+J15)/$C$6</f>
        <v/>
      </c>
      <c r="C6" s="4" t="n">
        <v>112.8</v>
      </c>
      <c r="D6" s="5">
        <f>B6*C6</f>
        <v/>
      </c>
      <c r="E6" s="6" t="n">
        <v>0</v>
      </c>
      <c r="F6" s="7">
        <f>+E6*C6</f>
        <v/>
      </c>
      <c r="G6" s="6" t="n"/>
      <c r="H6" s="7">
        <f>+G6*C6</f>
        <v/>
      </c>
      <c r="I6" s="6" t="n">
        <v>0</v>
      </c>
      <c r="J6" s="7">
        <f>+I6*C6</f>
        <v/>
      </c>
      <c r="K6" s="6" t="n">
        <v>0</v>
      </c>
      <c r="L6" s="7">
        <f>+K6*C6</f>
        <v/>
      </c>
      <c r="M6" s="9" t="n">
        <v>0</v>
      </c>
      <c r="N6" s="7">
        <f>+M6*C6</f>
        <v/>
      </c>
      <c r="O6" s="9" t="n"/>
      <c r="P6" s="7">
        <f>+O6*C6</f>
        <v/>
      </c>
      <c r="Q6" s="6" t="n">
        <v>41.87943262411348</v>
      </c>
      <c r="R6" s="7">
        <f>+Q6*C6</f>
        <v/>
      </c>
      <c r="S6" s="10">
        <f>+X5</f>
        <v/>
      </c>
      <c r="T6" s="7">
        <f>+S6*C6</f>
        <v/>
      </c>
      <c r="U6" s="11">
        <f>+B6-E6-G6-Q6-S6-K6-I6-M6-O6</f>
        <v/>
      </c>
    </row>
    <row r="7" customFormat="1" s="2">
      <c r="A7" s="3" t="n"/>
      <c r="B7" s="38">
        <f>SUM(B4:B6)</f>
        <v/>
      </c>
      <c r="C7" s="3" t="n"/>
      <c r="D7" s="13">
        <f>SUM(D4:D6)</f>
        <v/>
      </c>
      <c r="E7" s="14">
        <f>SUM(E4:E6)</f>
        <v/>
      </c>
      <c r="F7" s="15">
        <f>SUM(F4:F6)</f>
        <v/>
      </c>
      <c r="G7" s="14">
        <f>SUM(G4:G6)</f>
        <v/>
      </c>
      <c r="H7" s="15">
        <f>SUM(H4:H6)</f>
        <v/>
      </c>
      <c r="I7" s="14">
        <f>SUM(I4:I6)</f>
        <v/>
      </c>
      <c r="J7" s="15">
        <f>SUM(J4:J6)</f>
        <v/>
      </c>
      <c r="K7" s="14">
        <f>SUM(K4:K6)</f>
        <v/>
      </c>
      <c r="L7" s="15">
        <f>SUM(L4:L6)</f>
        <v/>
      </c>
      <c r="M7" s="14">
        <f>SUM(M4:M6)</f>
        <v/>
      </c>
      <c r="N7" s="15">
        <f>SUM(N4:N6)</f>
        <v/>
      </c>
      <c r="O7" s="14">
        <f>SUM(O4:O6)</f>
        <v/>
      </c>
      <c r="P7" s="15">
        <f>SUM(P4:P6)</f>
        <v/>
      </c>
      <c r="Q7" s="14">
        <f>SUM(Q4:Q6)</f>
        <v/>
      </c>
      <c r="R7" s="15">
        <f>SUM(R4:R6)</f>
        <v/>
      </c>
      <c r="S7" s="14">
        <f>SUM(S4:S6)</f>
        <v/>
      </c>
      <c r="T7" s="15">
        <f>SUM(T4:T6)</f>
        <v/>
      </c>
      <c r="U7" s="11">
        <f>+B7-E7-G7-Q7-S7-K7-I7-M7-O7</f>
        <v/>
      </c>
    </row>
    <row r="8" ht="15" customFormat="1" customHeight="1" s="2" thickBot="1">
      <c r="A8" s="52" t="inlineStr">
        <is>
          <t>Actual Amount</t>
        </is>
      </c>
      <c r="B8" s="53" t="n"/>
      <c r="C8" s="16" t="n"/>
      <c r="D8" s="17" t="n"/>
      <c r="E8" s="18" t="n"/>
      <c r="F8" s="19" t="n">
        <v>0</v>
      </c>
      <c r="G8" s="18" t="n"/>
      <c r="H8" s="19" t="n">
        <v>70090.50999999999</v>
      </c>
      <c r="I8" s="18" t="n"/>
      <c r="J8" s="19" t="n">
        <v>0</v>
      </c>
      <c r="K8" s="18" t="n"/>
      <c r="L8" s="19" t="n">
        <v>8026</v>
      </c>
      <c r="M8" s="20" t="n"/>
      <c r="N8" s="19" t="n">
        <v>87183.92</v>
      </c>
      <c r="O8" s="20" t="inlineStr"/>
      <c r="P8" s="19" t="n">
        <v>0</v>
      </c>
      <c r="Q8" s="18" t="n">
        <v>0</v>
      </c>
      <c r="R8" s="19" t="n">
        <v>134707</v>
      </c>
      <c r="S8" s="18" t="n"/>
      <c r="T8" s="19" t="n">
        <v>42890</v>
      </c>
      <c r="U8" s="17" t="n"/>
    </row>
    <row r="9" ht="15.6" customHeight="1" s="69" thickBot="1" thickTop="1">
      <c r="A9" s="48" t="inlineStr">
        <is>
          <t>Diffrence should be zero</t>
        </is>
      </c>
      <c r="B9" s="49" t="n"/>
      <c r="C9" s="49" t="n"/>
      <c r="D9" s="21" t="n"/>
      <c r="E9" s="21" t="n"/>
      <c r="F9" s="22">
        <f>+F7-F8</f>
        <v/>
      </c>
      <c r="G9" s="21" t="n"/>
      <c r="H9" s="22">
        <f>+H7-H8</f>
        <v/>
      </c>
      <c r="I9" s="21" t="n"/>
      <c r="J9" s="22">
        <f>+J7-J8</f>
        <v/>
      </c>
      <c r="K9" s="21" t="n"/>
      <c r="L9" s="22">
        <f>+L7-L8</f>
        <v/>
      </c>
      <c r="M9" s="22" t="n"/>
      <c r="N9" s="22">
        <f>+N7-N8</f>
        <v/>
      </c>
      <c r="O9" s="22" t="n"/>
      <c r="P9" s="22">
        <f>+P7-P8</f>
        <v/>
      </c>
      <c r="Q9" s="21" t="n"/>
      <c r="R9" s="22">
        <f>+R7-R8</f>
        <v/>
      </c>
      <c r="S9" s="21" t="n"/>
      <c r="T9" s="22">
        <f>+T7-T8</f>
        <v/>
      </c>
      <c r="U9" s="23" t="n"/>
    </row>
    <row r="10" ht="15" customHeight="1" s="69" thickTop="1">
      <c r="A10" s="24" t="n"/>
      <c r="B10" s="24" t="n">
        <v>0</v>
      </c>
      <c r="C10" s="24" t="n"/>
      <c r="D10" s="2" t="n"/>
      <c r="E10" s="2" t="n"/>
      <c r="F10" s="25" t="n"/>
      <c r="G10" s="2" t="n"/>
      <c r="H10" s="25" t="n"/>
      <c r="I10" s="2" t="n"/>
      <c r="J10" s="25" t="n"/>
      <c r="K10" s="2" t="n"/>
      <c r="L10" s="6" t="n"/>
      <c r="M10" s="2" t="n"/>
      <c r="N10" s="25" t="n"/>
      <c r="O10" s="25" t="n"/>
      <c r="P10" s="25" t="n"/>
      <c r="Q10" s="25" t="n"/>
      <c r="R10" s="25" t="n"/>
      <c r="S10" s="2" t="n"/>
      <c r="T10" s="25" t="n"/>
      <c r="U10" s="2" t="n"/>
    </row>
    <row r="11">
      <c r="A11" s="26" t="inlineStr">
        <is>
          <t>sales value diff</t>
        </is>
      </c>
      <c r="D11" s="27">
        <f>+D7-F8-H8-L8-J8-R8-T8-N8-P8</f>
        <v/>
      </c>
      <c r="F11" s="72" t="n"/>
      <c r="M11" s="72" t="n"/>
    </row>
    <row r="12">
      <c r="F12" s="72" t="n"/>
      <c r="G12" s="72" t="n"/>
      <c r="H12" s="29" t="inlineStr">
        <is>
          <t>Petrol</t>
        </is>
      </c>
      <c r="I12" s="29" t="inlineStr">
        <is>
          <t>Diesal</t>
        </is>
      </c>
      <c r="J12" s="29" t="inlineStr">
        <is>
          <t>Power</t>
        </is>
      </c>
    </row>
    <row r="13">
      <c r="A13" s="58" t="inlineStr">
        <is>
          <t>CREDIT DETAIL</t>
        </is>
      </c>
      <c r="B13" s="59" t="n"/>
      <c r="C13" s="59" t="n"/>
      <c r="D13" s="59" t="n"/>
      <c r="E13" s="59" t="n"/>
      <c r="F13" s="57" t="n"/>
      <c r="H13" s="79" t="n">
        <v>74854</v>
      </c>
      <c r="I13" s="80" t="n">
        <v>54981</v>
      </c>
      <c r="J13" s="79" t="n">
        <v>4724</v>
      </c>
    </row>
    <row r="14">
      <c r="A14" s="29" t="inlineStr">
        <is>
          <t>particular</t>
        </is>
      </c>
      <c r="B14" s="29" t="inlineStr">
        <is>
          <t xml:space="preserve">Type </t>
        </is>
      </c>
      <c r="C14" s="31" t="inlineStr">
        <is>
          <t>QTY</t>
        </is>
      </c>
      <c r="D14" s="31" t="inlineStr">
        <is>
          <t>RATE</t>
        </is>
      </c>
      <c r="E14" s="31" t="inlineStr">
        <is>
          <t>AMOUNT</t>
        </is>
      </c>
      <c r="F14" s="32" t="inlineStr">
        <is>
          <t>inv no</t>
        </is>
      </c>
      <c r="H14" s="79" t="n">
        <v>112506</v>
      </c>
      <c r="I14" s="80" t="n">
        <v>29752</v>
      </c>
      <c r="J14" s="79" t="n"/>
      <c r="K14" s="74" t="n"/>
      <c r="L14" s="74" t="n"/>
      <c r="M14" s="74" t="n"/>
    </row>
    <row r="15">
      <c r="A15" s="33" t="inlineStr">
        <is>
          <t>Piploda</t>
        </is>
      </c>
      <c r="B15" s="34" t="inlineStr">
        <is>
          <t>diesal</t>
        </is>
      </c>
      <c r="C15" s="29">
        <f>+E15/D15</f>
        <v/>
      </c>
      <c r="D15" s="79">
        <f>+VLOOKUP(B15,A$4:C$6,3,0)</f>
        <v/>
      </c>
      <c r="E15" s="81" t="n">
        <v>20000</v>
      </c>
      <c r="F15" s="34" t="n">
        <v>22491</v>
      </c>
      <c r="H15" s="80" t="n"/>
      <c r="I15" s="80" t="n">
        <v>66081</v>
      </c>
      <c r="J15" s="80" t="n"/>
      <c r="K15" s="72" t="n"/>
    </row>
    <row r="16">
      <c r="A16" s="33" t="inlineStr">
        <is>
          <t>mool Chand yadav</t>
        </is>
      </c>
      <c r="B16" s="34" t="inlineStr">
        <is>
          <t>diesal</t>
        </is>
      </c>
      <c r="C16" s="29">
        <f>+E16/D16</f>
        <v/>
      </c>
      <c r="D16" s="79">
        <f>+VLOOKUP(B16,A$4:C$6,3,0)</f>
        <v/>
      </c>
      <c r="E16" s="81" t="n">
        <v>14689.79</v>
      </c>
      <c r="F16" s="34" t="n">
        <v>22492</v>
      </c>
      <c r="H16" s="79">
        <f>+H24/C4</f>
        <v/>
      </c>
      <c r="I16" s="43">
        <f>+I24/C5</f>
        <v/>
      </c>
      <c r="J16" s="43">
        <f>+J24/C6</f>
        <v/>
      </c>
      <c r="K16" s="72" t="n"/>
      <c r="M16" s="72" t="n"/>
    </row>
    <row r="17">
      <c r="A17" s="33" t="n"/>
      <c r="B17" s="34" t="inlineStr">
        <is>
          <t>diesal</t>
        </is>
      </c>
      <c r="C17" s="29">
        <f>+E17/D17</f>
        <v/>
      </c>
      <c r="D17" s="79">
        <f>+VLOOKUP(B17,A$4:C$6,3,0)</f>
        <v/>
      </c>
      <c r="E17" s="82" t="n"/>
      <c r="F17" s="34" t="n"/>
      <c r="H17" s="72" t="n"/>
      <c r="K17" s="72" t="n"/>
    </row>
    <row r="18">
      <c r="A18" s="33" t="n"/>
      <c r="B18" s="34" t="inlineStr">
        <is>
          <t>diesal</t>
        </is>
      </c>
      <c r="C18" s="29">
        <f>+E18/D18</f>
        <v/>
      </c>
      <c r="D18" s="79">
        <f>+VLOOKUP(B18,A$4:C$6,3,0)</f>
        <v/>
      </c>
      <c r="E18" s="82" t="n"/>
      <c r="F18" s="34" t="n"/>
    </row>
    <row r="19">
      <c r="A19" s="33" t="n"/>
      <c r="B19" s="34" t="inlineStr">
        <is>
          <t>diesal</t>
        </is>
      </c>
      <c r="C19" s="29">
        <f>+E19/D19</f>
        <v/>
      </c>
      <c r="D19" s="79">
        <f>+VLOOKUP(B19,A$4:C$6,3,0)</f>
        <v/>
      </c>
      <c r="E19" s="82" t="n"/>
      <c r="F19" s="39" t="n"/>
      <c r="K19" s="72" t="n"/>
      <c r="M19" s="72" t="n"/>
    </row>
    <row r="20">
      <c r="A20" s="33" t="n"/>
      <c r="B20" s="34" t="inlineStr">
        <is>
          <t>diesal</t>
        </is>
      </c>
      <c r="C20" s="29">
        <f>+E20/D20</f>
        <v/>
      </c>
      <c r="D20" s="79">
        <f>+VLOOKUP(B20,A$4:C$6,3,0)</f>
        <v/>
      </c>
      <c r="E20" s="82" t="n"/>
      <c r="F20" s="79" t="n"/>
      <c r="K20" s="72" t="n"/>
    </row>
    <row r="21">
      <c r="A21" s="33" t="n"/>
      <c r="B21" s="34" t="inlineStr">
        <is>
          <t>diesal</t>
        </is>
      </c>
      <c r="C21" s="29">
        <f>+E21/D21</f>
        <v/>
      </c>
      <c r="D21" s="79">
        <f>+VLOOKUP(B21,A$4:C$6,3,0)</f>
        <v/>
      </c>
      <c r="E21" s="82" t="n"/>
      <c r="F21" s="35" t="n"/>
      <c r="H21" s="71" t="n"/>
      <c r="K21" s="72" t="n"/>
      <c r="M21" s="72" t="n"/>
    </row>
    <row r="22">
      <c r="A22" s="33" t="n"/>
      <c r="B22" s="34" t="inlineStr">
        <is>
          <t>diesal</t>
        </is>
      </c>
      <c r="C22" s="29">
        <f>+E22/D22</f>
        <v/>
      </c>
      <c r="D22" s="79">
        <f>+VLOOKUP(B22,A$4:C$6,3,0)</f>
        <v/>
      </c>
      <c r="E22" s="82" t="n"/>
      <c r="F22" s="79" t="n"/>
    </row>
    <row r="23">
      <c r="A23" s="34" t="n"/>
      <c r="B23" s="34" t="inlineStr">
        <is>
          <t>diesal</t>
        </is>
      </c>
      <c r="C23" s="29">
        <f>+E23/D23</f>
        <v/>
      </c>
      <c r="D23" s="79">
        <f>+VLOOKUP(B23,A$4:C$6,3,0)</f>
        <v/>
      </c>
      <c r="E23" s="82" t="n"/>
      <c r="F23" s="79" t="n"/>
    </row>
    <row r="24">
      <c r="A24" s="34" t="n"/>
      <c r="B24" s="34" t="inlineStr">
        <is>
          <t>diesal</t>
        </is>
      </c>
      <c r="C24" s="29">
        <f>+E24/D24</f>
        <v/>
      </c>
      <c r="D24" s="79">
        <f>+VLOOKUP(B24,A$4:C$6,3,0)</f>
        <v/>
      </c>
      <c r="E24" s="29" t="n"/>
      <c r="F24" s="79" t="n"/>
      <c r="H24" s="72" t="n"/>
      <c r="I24" s="72" t="n"/>
      <c r="J24" s="72" t="n"/>
    </row>
    <row r="25">
      <c r="A25" s="34" t="n"/>
      <c r="B25" s="34" t="inlineStr">
        <is>
          <t>diesal</t>
        </is>
      </c>
      <c r="C25" s="29">
        <f>+E25/D25</f>
        <v/>
      </c>
      <c r="D25" s="79">
        <f>+VLOOKUP(B25,A$4:C$6,3,0)</f>
        <v/>
      </c>
      <c r="E25" s="29" t="n"/>
      <c r="F25" s="79" t="n"/>
      <c r="H25" s="72" t="n"/>
    </row>
    <row r="26">
      <c r="A26" s="79" t="n"/>
      <c r="B26" s="79" t="n"/>
      <c r="C26" s="29">
        <f>SUM(C15:C25)</f>
        <v/>
      </c>
      <c r="D26" s="29" t="n"/>
      <c r="E26" s="29">
        <f>SUM(E15:E25)</f>
        <v/>
      </c>
      <c r="F26" s="79" t="n"/>
    </row>
    <row r="50">
      <c r="E50" t="n">
        <v>9</v>
      </c>
    </row>
  </sheetData>
  <mergeCells count="16">
    <mergeCell ref="O2:P2"/>
    <mergeCell ref="M2:N2"/>
    <mergeCell ref="S2:T2"/>
    <mergeCell ref="Q2:R2"/>
    <mergeCell ref="A13:F13"/>
    <mergeCell ref="G2:H2"/>
    <mergeCell ref="E2:F2"/>
    <mergeCell ref="K2:L2"/>
    <mergeCell ref="I2:J2"/>
    <mergeCell ref="U2:U3"/>
    <mergeCell ref="C2:C3"/>
    <mergeCell ref="A9:C9"/>
    <mergeCell ref="B2:B3"/>
    <mergeCell ref="A2:A3"/>
    <mergeCell ref="D2:D3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</dc:creator>
  <dcterms:created xsi:type="dcterms:W3CDTF">2015-06-05T18:17:20Z</dcterms:created>
  <dcterms:modified xsi:type="dcterms:W3CDTF">2026-09-27T04:19:52Z</dcterms:modified>
  <cp:lastModifiedBy>Asus</cp:lastModifiedBy>
</cp:coreProperties>
</file>
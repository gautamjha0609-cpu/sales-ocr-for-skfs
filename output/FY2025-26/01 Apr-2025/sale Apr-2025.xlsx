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3040" windowHeight="9060" tabRatio="600" firstSheet="23" activeTab="0" autoFilterDateGrouping="1"/>
  </bookViews>
  <sheets>
    <sheet name="1-4-2025" sheetId="1" state="visible" r:id="rId1"/>
    <sheet name="2-4-2025" sheetId="2" state="visible" r:id="rId2"/>
    <sheet name="3-4-2025" sheetId="3" state="visible" r:id="rId3"/>
    <sheet name="4-4-2025" sheetId="4" state="visible" r:id="rId4"/>
    <sheet name="5-4-2025" sheetId="5" state="visible" r:id="rId5"/>
    <sheet name="6-4-2025" sheetId="6" state="visible" r:id="rId6"/>
    <sheet name="7-4-2025" sheetId="7" state="visible" r:id="rId7"/>
    <sheet name="8-4-2025" sheetId="8" state="visible" r:id="rId8"/>
    <sheet name="9-4-2025" sheetId="9" state="visible" r:id="rId9"/>
    <sheet name="10-4-2025" sheetId="10" state="visible" r:id="rId10"/>
    <sheet name="11-4-2025" sheetId="11" state="visible" r:id="rId11"/>
    <sheet name="12-4-2025" sheetId="12" state="visible" r:id="rId12"/>
    <sheet name="13-4-2025" sheetId="13" state="visible" r:id="rId13"/>
    <sheet name="14-4-2025" sheetId="14" state="visible" r:id="rId14"/>
    <sheet name="15-4-2025" sheetId="15" state="visible" r:id="rId15"/>
    <sheet name="16-4-2025" sheetId="16" state="visible" r:id="rId16"/>
    <sheet name="17-4-2025" sheetId="17" state="visible" r:id="rId17"/>
    <sheet name="18-4-2025" sheetId="18" state="visible" r:id="rId18"/>
    <sheet name="19-4-2025" sheetId="19" state="visible" r:id="rId19"/>
    <sheet name="20-4-2025" sheetId="20" state="visible" r:id="rId20"/>
    <sheet name="21-4-2025" sheetId="21" state="visible" r:id="rId21"/>
    <sheet name="22-4-2025" sheetId="22" state="visible" r:id="rId22"/>
    <sheet name="23-4-2025" sheetId="23" state="visible" r:id="rId23"/>
    <sheet name="24-4-2025" sheetId="24" state="visible" r:id="rId24"/>
    <sheet name="25-4-2025" sheetId="25" state="visible" r:id="rId25"/>
    <sheet name="26-4-2025" sheetId="26" state="visible" r:id="rId26"/>
    <sheet name="27-4-2025" sheetId="27" state="visible" r:id="rId27"/>
    <sheet name="28-4-2025" sheetId="28" state="visible" r:id="rId28"/>
    <sheet name="29-4-2025" sheetId="29" state="visible" r:id="rId29"/>
    <sheet name="30-4-2025" sheetId="30" state="visible" r:id="rId30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_ * #,##0.00_ ;_ * \-#,##0.00_ ;_ * &quot;-&quot;??_ ;_ @_ "/>
    <numFmt numFmtId="165" formatCode="0.0000"/>
    <numFmt numFmtId="166" formatCode="0.00_ "/>
  </numFmts>
  <fonts count="9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Times New Roman"/>
      <charset val="134"/>
      <b val="1"/>
      <sz val="15"/>
    </font>
    <font>
      <name val="Arial"/>
      <charset val="134"/>
      <sz val="11"/>
    </font>
    <font>
      <name val="Arial"/>
      <charset val="134"/>
      <b val="1"/>
      <sz val="11"/>
    </font>
    <font>
      <name val="Arial"/>
      <charset val="134"/>
      <b val="1"/>
      <sz val="10"/>
    </font>
    <font>
      <name val="Arial"/>
      <charset val="134"/>
      <sz val="10"/>
    </font>
    <font>
      <name val="Calibri"/>
      <charset val="134"/>
      <color rgb="FFFF0000"/>
      <sz val="11"/>
      <scheme val="minor"/>
    </font>
    <font>
      <name val="Calibri"/>
      <charset val="134"/>
      <b val="1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FFFFFF00"/>
        <bgColor indexed="64"/>
      </patternFill>
    </fill>
  </fills>
  <borders count="26">
    <border>
      <left/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/>
      <right style="thick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theme="4" tint="0.3998229926450392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ck">
        <color auto="1"/>
      </left>
      <right/>
      <top/>
      <bottom style="double">
        <color auto="1"/>
      </bottom>
      <diagonal/>
    </border>
    <border>
      <left/>
      <right style="thick">
        <color auto="1"/>
      </right>
      <top/>
      <bottom style="double">
        <color auto="1"/>
      </bottom>
      <diagonal/>
    </border>
    <border>
      <left/>
      <right/>
      <top/>
      <bottom style="double">
        <color auto="1"/>
      </bottom>
      <diagonal/>
    </border>
    <border>
      <left style="double">
        <color auto="1"/>
      </left>
      <right/>
      <top style="double">
        <color auto="1"/>
      </top>
      <bottom style="double">
        <color auto="1"/>
      </bottom>
      <diagonal/>
    </border>
    <border>
      <left/>
      <right/>
      <top style="double">
        <color auto="1"/>
      </top>
      <bottom style="double">
        <color auto="1"/>
      </bottom>
      <diagonal/>
    </border>
    <border>
      <left/>
      <right style="double">
        <color auto="1"/>
      </right>
      <top style="double">
        <color auto="1"/>
      </top>
      <bottom style="double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double">
        <color auto="1"/>
      </top>
      <bottom/>
      <diagonal/>
    </border>
    <border>
      <left/>
      <right style="thick">
        <color auto="1"/>
      </right>
      <top style="thin">
        <color auto="1"/>
      </top>
      <bottom/>
      <diagonal/>
    </border>
  </borders>
  <cellStyleXfs count="2">
    <xf numFmtId="0" fontId="1" fillId="0" borderId="0"/>
    <xf numFmtId="43" fontId="1" fillId="0" borderId="0"/>
  </cellStyleXfs>
  <cellXfs count="83">
    <xf numFmtId="0" fontId="0" fillId="0" borderId="0" pivotButton="0" quotePrefix="0" xfId="0"/>
    <xf numFmtId="0" fontId="2" fillId="0" borderId="1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3" fillId="0" borderId="2" applyAlignment="1" pivotButton="0" quotePrefix="0" xfId="0">
      <alignment vertical="center"/>
    </xf>
    <xf numFmtId="0" fontId="4" fillId="0" borderId="2" applyAlignment="1" pivotButton="0" quotePrefix="0" xfId="0">
      <alignment horizontal="center" vertical="center"/>
    </xf>
    <xf numFmtId="2" fontId="3" fillId="0" borderId="3" applyAlignment="1" pivotButton="0" quotePrefix="0" xfId="0">
      <alignment vertical="center"/>
    </xf>
    <xf numFmtId="2" fontId="3" fillId="0" borderId="4" applyAlignment="1" pivotButton="0" quotePrefix="0" xfId="0">
      <alignment vertical="center"/>
    </xf>
    <xf numFmtId="2" fontId="3" fillId="0" borderId="5" applyAlignment="1" pivotButton="0" quotePrefix="0" xfId="0">
      <alignment vertical="center"/>
    </xf>
    <xf numFmtId="2" fontId="3" fillId="2" borderId="4" applyAlignment="1" pivotButton="0" quotePrefix="0" xfId="0">
      <alignment vertical="center"/>
    </xf>
    <xf numFmtId="2" fontId="3" fillId="0" borderId="1" applyAlignment="1" pivotButton="0" quotePrefix="0" xfId="0">
      <alignment vertical="center"/>
    </xf>
    <xf numFmtId="0" fontId="0" fillId="0" borderId="8" pivotButton="0" quotePrefix="0" xfId="0"/>
    <xf numFmtId="2" fontId="3" fillId="0" borderId="2" applyAlignment="1" pivotButton="0" quotePrefix="0" xfId="0">
      <alignment vertical="center"/>
    </xf>
    <xf numFmtId="2" fontId="3" fillId="0" borderId="2" applyAlignment="1" pivotButton="0" quotePrefix="0" xfId="0">
      <alignment horizontal="center" vertical="center"/>
    </xf>
    <xf numFmtId="2" fontId="4" fillId="0" borderId="3" applyAlignment="1" pivotButton="0" quotePrefix="0" xfId="0">
      <alignment vertical="center"/>
    </xf>
    <xf numFmtId="2" fontId="4" fillId="0" borderId="4" applyAlignment="1" pivotButton="0" quotePrefix="0" xfId="0">
      <alignment vertical="center"/>
    </xf>
    <xf numFmtId="2" fontId="4" fillId="0" borderId="5" applyAlignment="1" pivotButton="0" quotePrefix="0" xfId="0">
      <alignment vertical="center"/>
    </xf>
    <xf numFmtId="0" fontId="5" fillId="0" borderId="0" applyAlignment="1" pivotButton="0" quotePrefix="0" xfId="0">
      <alignment vertical="center"/>
    </xf>
    <xf numFmtId="2" fontId="5" fillId="0" borderId="0" applyAlignment="1" pivotButton="0" quotePrefix="0" xfId="0">
      <alignment vertical="center"/>
    </xf>
    <xf numFmtId="2" fontId="5" fillId="0" borderId="11" applyAlignment="1" pivotButton="0" quotePrefix="0" xfId="0">
      <alignment vertical="center"/>
    </xf>
    <xf numFmtId="2" fontId="5" fillId="2" borderId="12" applyAlignment="1" pivotButton="0" quotePrefix="0" xfId="0">
      <alignment vertical="center"/>
    </xf>
    <xf numFmtId="2" fontId="5" fillId="0" borderId="13" applyAlignment="1" pivotButton="0" quotePrefix="0" xfId="0">
      <alignment vertical="center"/>
    </xf>
    <xf numFmtId="0" fontId="0" fillId="0" borderId="15" applyAlignment="1" pivotButton="0" quotePrefix="0" xfId="0">
      <alignment vertical="center"/>
    </xf>
    <xf numFmtId="2" fontId="0" fillId="0" borderId="15" applyAlignment="1" pivotButton="0" quotePrefix="0" xfId="0">
      <alignment vertical="center"/>
    </xf>
    <xf numFmtId="0" fontId="0" fillId="0" borderId="16" applyAlignment="1" pivotButton="0" quotePrefix="0" xfId="0">
      <alignment vertical="center"/>
    </xf>
    <xf numFmtId="0" fontId="6" fillId="0" borderId="0" applyAlignment="1" pivotButton="0" quotePrefix="0" xfId="0">
      <alignment horizontal="center" vertical="center"/>
    </xf>
    <xf numFmtId="2" fontId="0" fillId="0" borderId="0" applyAlignment="1" pivotButton="0" quotePrefix="0" xfId="0">
      <alignment vertical="center"/>
    </xf>
    <xf numFmtId="0" fontId="6" fillId="0" borderId="0" pivotButton="0" quotePrefix="0" xfId="0"/>
    <xf numFmtId="2" fontId="7" fillId="0" borderId="0" pivotButton="0" quotePrefix="0" xfId="0"/>
    <xf numFmtId="2" fontId="0" fillId="0" borderId="0" pivotButton="0" quotePrefix="0" xfId="0"/>
    <xf numFmtId="0" fontId="8" fillId="0" borderId="2" pivotButton="0" quotePrefix="0" xfId="0"/>
    <xf numFmtId="0" fontId="0" fillId="0" borderId="2" pivotButton="0" quotePrefix="0" xfId="0"/>
    <xf numFmtId="0" fontId="5" fillId="0" borderId="2" pivotButton="0" quotePrefix="0" xfId="0"/>
    <xf numFmtId="2" fontId="8" fillId="0" borderId="2" pivotButton="0" quotePrefix="0" xfId="0"/>
    <xf numFmtId="0" fontId="1" fillId="0" borderId="2" pivotButton="0" quotePrefix="0" xfId="0"/>
    <xf numFmtId="0" fontId="6" fillId="0" borderId="2" pivotButton="0" quotePrefix="0" xfId="0"/>
    <xf numFmtId="3" fontId="0" fillId="0" borderId="2" pivotButton="0" quotePrefix="0" xfId="0"/>
    <xf numFmtId="2" fontId="0" fillId="0" borderId="2" pivotButton="0" quotePrefix="0" xfId="0"/>
    <xf numFmtId="0" fontId="8" fillId="0" borderId="0" pivotButton="0" quotePrefix="0" xfId="0"/>
    <xf numFmtId="2" fontId="3" fillId="0" borderId="4" applyAlignment="1" pivotButton="0" quotePrefix="0" xfId="0">
      <alignment horizontal="center" vertical="center"/>
    </xf>
    <xf numFmtId="3" fontId="0" fillId="0" borderId="2" applyAlignment="1" pivotButton="0" quotePrefix="1" xfId="0">
      <alignment horizontal="right"/>
    </xf>
    <xf numFmtId="0" fontId="2" fillId="0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center" vertical="center"/>
    </xf>
    <xf numFmtId="164" fontId="8" fillId="0" borderId="2" pivotButton="0" quotePrefix="0" xfId="1"/>
    <xf numFmtId="165" fontId="0" fillId="0" borderId="2" pivotButton="0" quotePrefix="0" xfId="0"/>
    <xf numFmtId="166" fontId="8" fillId="0" borderId="2" pivotButton="0" quotePrefix="0" xfId="0"/>
    <xf numFmtId="0" fontId="2" fillId="0" borderId="2" applyAlignment="1" pivotButton="0" quotePrefix="0" xfId="0">
      <alignment horizontal="center" vertical="center" wrapText="1"/>
    </xf>
    <xf numFmtId="0" fontId="0" fillId="0" borderId="7" pivotButton="0" quotePrefix="0" xfId="0"/>
    <xf numFmtId="0" fontId="2" fillId="0" borderId="2" applyAlignment="1" pivotButton="0" quotePrefix="0" xfId="0">
      <alignment horizontal="center" vertical="center"/>
    </xf>
    <xf numFmtId="0" fontId="6" fillId="0" borderId="14" applyAlignment="1" pivotButton="0" quotePrefix="0" xfId="0">
      <alignment horizontal="center" vertical="center"/>
    </xf>
    <xf numFmtId="0" fontId="0" fillId="0" borderId="15" pivotButton="0" quotePrefix="0" xfId="0"/>
    <xf numFmtId="0" fontId="2" fillId="0" borderId="3" applyAlignment="1" pivotButton="0" quotePrefix="0" xfId="0">
      <alignment horizontal="center" vertical="center"/>
    </xf>
    <xf numFmtId="0" fontId="0" fillId="0" borderId="19" pivotButton="0" quotePrefix="0" xfId="0"/>
    <xf numFmtId="0" fontId="4" fillId="0" borderId="9" applyAlignment="1" pivotButton="0" quotePrefix="0" xfId="0">
      <alignment horizontal="center" vertical="center"/>
    </xf>
    <xf numFmtId="0" fontId="0" fillId="0" borderId="10" pivotButton="0" quotePrefix="0" xfId="0"/>
    <xf numFmtId="0" fontId="2" fillId="0" borderId="18" applyAlignment="1" pivotButton="0" quotePrefix="0" xfId="0">
      <alignment horizontal="center" vertical="center"/>
    </xf>
    <xf numFmtId="0" fontId="0" fillId="0" borderId="6" pivotButton="0" quotePrefix="0" xfId="0"/>
    <xf numFmtId="0" fontId="2" fillId="0" borderId="4" applyAlignment="1" pivotButton="0" quotePrefix="0" xfId="0">
      <alignment horizontal="center" vertical="center"/>
    </xf>
    <xf numFmtId="0" fontId="0" fillId="0" borderId="17" pivotButton="0" quotePrefix="0" xfId="0"/>
    <xf numFmtId="0" fontId="5" fillId="0" borderId="2" applyAlignment="1" pivotButton="0" quotePrefix="0" xfId="0">
      <alignment horizontal="center"/>
    </xf>
    <xf numFmtId="0" fontId="0" fillId="0" borderId="1" pivotButton="0" quotePrefix="0" xfId="0"/>
    <xf numFmtId="0" fontId="0" fillId="0" borderId="3" pivotButton="0" quotePrefix="0" xfId="0"/>
    <xf numFmtId="2" fontId="0" fillId="0" borderId="3" pivotButton="0" quotePrefix="0" xfId="0"/>
    <xf numFmtId="165" fontId="0" fillId="0" borderId="3" pivotButton="0" quotePrefix="0" xfId="0"/>
    <xf numFmtId="0" fontId="0" fillId="0" borderId="0" pivotButton="0" quotePrefix="0" xfId="0"/>
    <xf numFmtId="0" fontId="6" fillId="0" borderId="0" applyAlignment="1" pivotButton="0" quotePrefix="0" xfId="0">
      <alignment horizontal="center"/>
    </xf>
    <xf numFmtId="2" fontId="0" fillId="0" borderId="0" pivotButton="0" quotePrefix="0" xfId="0"/>
    <xf numFmtId="2" fontId="0" fillId="2" borderId="0" pivotButton="0" quotePrefix="0" xfId="0"/>
    <xf numFmtId="0" fontId="0" fillId="2" borderId="0" pivotButton="0" quotePrefix="0" xfId="0"/>
    <xf numFmtId="0" fontId="0" fillId="0" borderId="0" pivotButton="0" quotePrefix="0" xfId="0"/>
    <xf numFmtId="0" fontId="0" fillId="0" borderId="0" pivotButton="0" quotePrefix="0" xfId="0"/>
    <xf numFmtId="2" fontId="0" fillId="0" borderId="0" pivotButton="0" quotePrefix="0" xfId="0"/>
    <xf numFmtId="0" fontId="8" fillId="0" borderId="0" pivotButton="0" quotePrefix="0" xfId="0"/>
    <xf numFmtId="2" fontId="0" fillId="0" borderId="0" pivotButton="0" quotePrefix="0" xfId="0"/>
    <xf numFmtId="0" fontId="8" fillId="0" borderId="3" pivotButton="0" quotePrefix="0" xfId="0"/>
    <xf numFmtId="0" fontId="6" fillId="0" borderId="0" applyAlignment="1" pivotButton="0" quotePrefix="0" xfId="0">
      <alignment horizontal="center"/>
    </xf>
    <xf numFmtId="2" fontId="3" fillId="0" borderId="20" applyAlignment="1" pivotButton="0" quotePrefix="0" xfId="0">
      <alignment vertical="center"/>
    </xf>
    <xf numFmtId="0" fontId="6" fillId="0" borderId="17" applyAlignment="1" pivotButton="0" quotePrefix="0" xfId="0">
      <alignment horizontal="center"/>
    </xf>
    <xf numFmtId="0" fontId="6" fillId="0" borderId="2" applyAlignment="1" pivotButton="0" quotePrefix="0" xfId="0">
      <alignment horizontal="center"/>
    </xf>
    <xf numFmtId="2" fontId="0" fillId="0" borderId="17" pivotButton="0" quotePrefix="0" xfId="0"/>
    <xf numFmtId="0" fontId="0" fillId="0" borderId="2" pivotButton="0" quotePrefix="0" xfId="0"/>
    <xf numFmtId="2" fontId="0" fillId="0" borderId="2" pivotButton="0" quotePrefix="0" xfId="0"/>
    <xf numFmtId="164" fontId="8" fillId="0" borderId="2" pivotButton="0" quotePrefix="0" xfId="1"/>
    <xf numFmtId="166" fontId="8" fillId="0" borderId="2" pivotButton="0" quotePrefix="0" xfId="0"/>
  </cellXfs>
  <cellStyles count="2">
    <cellStyle name="Normal" xfId="0" builtinId="0"/>
    <cellStyle name="Comma" xfId="1" builtinId="3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styles" Target="styles.xml" Id="rId31" /><Relationship Type="http://schemas.openxmlformats.org/officeDocument/2006/relationships/theme" Target="theme/theme1.xml" Id="rId3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50"/>
  <sheetViews>
    <sheetView workbookViewId="0">
      <selection activeCell="A1" sqref="A1"/>
    </sheetView>
  </sheetViews>
  <sheetFormatPr baseColWidth="8" defaultColWidth="9.109375" defaultRowHeight="14.4"/>
  <cols>
    <col width="13.109375" customWidth="1" style="69" min="1" max="1"/>
    <col width="12" customWidth="1" style="69" min="2" max="2"/>
    <col width="12" customWidth="1" style="69" min="4" max="4"/>
    <col width="13.109375" customWidth="1" style="69" min="5" max="5"/>
    <col width="14" customWidth="1" style="69" min="6" max="6"/>
    <col width="10.109375" customWidth="1" style="69" min="7" max="7"/>
    <col width="10.6640625" customWidth="1" style="69" min="8" max="8"/>
    <col width="9.5546875" customWidth="1" style="69" min="9" max="9"/>
    <col width="10.6640625" customWidth="1" style="69" min="10" max="14"/>
    <col width="13.44140625" customWidth="1" style="69" min="15" max="15"/>
    <col width="11.88671875" customWidth="1" style="69" min="16" max="16"/>
    <col width="10.6640625" customWidth="1" style="69" min="18" max="18"/>
    <col width="9.5546875" customWidth="1" style="69" min="19" max="19"/>
    <col width="10.6640625" customWidth="1" style="69" min="20" max="20"/>
    <col width="9.6640625" customWidth="1" style="69" min="21" max="21"/>
    <col width="12.5546875" customWidth="1" style="69" min="23" max="23"/>
    <col width="12" customWidth="1" style="69" min="24" max="24"/>
  </cols>
  <sheetData>
    <row r="1" ht="18.6" customHeight="1" s="69"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</row>
    <row r="2" ht="18.6" customHeight="1" s="69">
      <c r="A2" s="47" t="inlineStr">
        <is>
          <t>Particular</t>
        </is>
      </c>
      <c r="B2" s="47" t="inlineStr">
        <is>
          <t>Qty</t>
        </is>
      </c>
      <c r="C2" s="47" t="inlineStr">
        <is>
          <t>Rate</t>
        </is>
      </c>
      <c r="D2" s="50" t="inlineStr">
        <is>
          <t>Amount</t>
        </is>
      </c>
      <c r="E2" s="56" t="inlineStr">
        <is>
          <t>Pos SBI</t>
        </is>
      </c>
      <c r="F2" s="57" t="n"/>
      <c r="G2" s="56" t="inlineStr">
        <is>
          <t>Paytm</t>
        </is>
      </c>
      <c r="H2" s="57" t="n"/>
      <c r="I2" s="56" t="inlineStr">
        <is>
          <t>HP Card</t>
        </is>
      </c>
      <c r="J2" s="57" t="n"/>
      <c r="K2" s="56" t="inlineStr">
        <is>
          <t>ICICI</t>
        </is>
      </c>
      <c r="L2" s="57" t="n"/>
      <c r="M2" s="56" t="inlineStr">
        <is>
          <t>phone pe</t>
        </is>
      </c>
      <c r="N2" s="57" t="n"/>
      <c r="O2" s="54" t="inlineStr">
        <is>
          <t>mobiquick</t>
        </is>
      </c>
      <c r="P2" s="55" t="n"/>
      <c r="Q2" s="56" t="inlineStr">
        <is>
          <t xml:space="preserve">CASH </t>
        </is>
      </c>
      <c r="R2" s="57" t="n"/>
      <c r="S2" s="56" t="inlineStr">
        <is>
          <t>Credit</t>
        </is>
      </c>
      <c r="T2" s="57" t="n"/>
      <c r="U2" s="45" t="inlineStr">
        <is>
          <t>Qty Diffrence</t>
        </is>
      </c>
      <c r="W2" s="2" t="n"/>
      <c r="X2" s="2" t="n"/>
    </row>
    <row r="3" ht="18.6" customHeight="1" s="69">
      <c r="A3" s="46" t="n"/>
      <c r="B3" s="46" t="n"/>
      <c r="C3" s="46" t="n"/>
      <c r="D3" s="51" t="n"/>
      <c r="E3" s="56" t="inlineStr">
        <is>
          <t>Qty</t>
        </is>
      </c>
      <c r="F3" s="41" t="inlineStr">
        <is>
          <t>Amount</t>
        </is>
      </c>
      <c r="G3" s="56" t="inlineStr">
        <is>
          <t>Qty</t>
        </is>
      </c>
      <c r="H3" s="41" t="inlineStr">
        <is>
          <t>Amount</t>
        </is>
      </c>
      <c r="I3" s="56" t="inlineStr">
        <is>
          <t>Qty</t>
        </is>
      </c>
      <c r="J3" s="41" t="inlineStr">
        <is>
          <t>Amount</t>
        </is>
      </c>
      <c r="K3" s="56" t="inlineStr">
        <is>
          <t>Qty</t>
        </is>
      </c>
      <c r="L3" s="41" t="inlineStr">
        <is>
          <t>Amount</t>
        </is>
      </c>
      <c r="M3" s="56" t="inlineStr">
        <is>
          <t>Qty</t>
        </is>
      </c>
      <c r="N3" s="41" t="inlineStr">
        <is>
          <t>Amount</t>
        </is>
      </c>
      <c r="O3" s="56" t="inlineStr">
        <is>
          <t>Qty</t>
        </is>
      </c>
      <c r="P3" s="41" t="inlineStr">
        <is>
          <t>Amount</t>
        </is>
      </c>
      <c r="Q3" s="56" t="inlineStr">
        <is>
          <t>Qty</t>
        </is>
      </c>
      <c r="R3" s="41" t="inlineStr">
        <is>
          <t>Amount</t>
        </is>
      </c>
      <c r="S3" s="56" t="inlineStr">
        <is>
          <t>Qty</t>
        </is>
      </c>
      <c r="T3" s="41" t="inlineStr">
        <is>
          <t>Amount</t>
        </is>
      </c>
      <c r="U3" s="46" t="n"/>
      <c r="W3" s="2" t="inlineStr">
        <is>
          <t>diesal</t>
        </is>
      </c>
      <c r="X3" s="2">
        <f>+SUMIFS(C15:C25,B15:B25,W3)</f>
        <v/>
      </c>
    </row>
    <row r="4" customFormat="1" s="2">
      <c r="A4" s="3" t="inlineStr">
        <is>
          <t>Petrol</t>
        </is>
      </c>
      <c r="B4" s="12">
        <f>+(H13+H14+H15)/$C$4</f>
        <v/>
      </c>
      <c r="C4" s="4" t="n">
        <v>104.71</v>
      </c>
      <c r="D4" s="5">
        <f>B4*C4</f>
        <v/>
      </c>
      <c r="E4" s="6" t="n">
        <v>0</v>
      </c>
      <c r="F4" s="7">
        <f>+E4*C4</f>
        <v/>
      </c>
      <c r="G4" s="9">
        <f>+(H8*60%)/$C$4</f>
        <v/>
      </c>
      <c r="H4" s="7">
        <f>+G4*C4</f>
        <v/>
      </c>
      <c r="I4" s="6">
        <f>J4/C4</f>
        <v/>
      </c>
      <c r="J4" s="7" t="n">
        <v>0</v>
      </c>
      <c r="K4" s="8">
        <f>+L8/$C$4</f>
        <v/>
      </c>
      <c r="L4" s="7">
        <f>+K4*C4</f>
        <v/>
      </c>
      <c r="M4" s="9">
        <f>+(N8*60%)/$C$4</f>
        <v/>
      </c>
      <c r="N4" s="7">
        <f>+M4*C4</f>
        <v/>
      </c>
      <c r="O4" s="9" t="n"/>
      <c r="P4" s="7">
        <f>+O4*C4</f>
        <v/>
      </c>
      <c r="Q4" s="6" t="n">
        <v>1027.243720752555</v>
      </c>
      <c r="R4" s="7">
        <f>+Q4*C4</f>
        <v/>
      </c>
      <c r="S4" s="10">
        <f>+X4</f>
        <v/>
      </c>
      <c r="T4" s="7">
        <f>+S4*C4</f>
        <v/>
      </c>
      <c r="U4" s="11">
        <f>+B4-E4-G4-Q4-S4-K4-I4-M4-O4</f>
        <v/>
      </c>
      <c r="W4" t="inlineStr">
        <is>
          <t>petrol</t>
        </is>
      </c>
      <c r="X4" s="2">
        <f>+SUMIFS(C15:C26,B15:B26,W4)</f>
        <v/>
      </c>
    </row>
    <row r="5" customFormat="1" s="2">
      <c r="A5" s="3" t="inlineStr">
        <is>
          <t>Diesal</t>
        </is>
      </c>
      <c r="B5" s="12">
        <f>+(I13+I14+I15)/$C$5</f>
        <v/>
      </c>
      <c r="C5" s="4" t="n">
        <v>90.20999999999999</v>
      </c>
      <c r="D5" s="5">
        <f>B5*C5</f>
        <v/>
      </c>
      <c r="E5" s="6" t="n">
        <v>0</v>
      </c>
      <c r="F5" s="7">
        <f>+E5*C5</f>
        <v/>
      </c>
      <c r="G5" s="6">
        <f>+(H8*40%)/$C$5</f>
        <v/>
      </c>
      <c r="H5" s="7">
        <f>+G5*C5</f>
        <v/>
      </c>
      <c r="I5" s="6">
        <f>+J8/C5</f>
        <v/>
      </c>
      <c r="J5" s="7">
        <f>+I5*C5</f>
        <v/>
      </c>
      <c r="K5" s="6" t="n">
        <v>0</v>
      </c>
      <c r="L5" s="7">
        <f>+K5*C5</f>
        <v/>
      </c>
      <c r="M5" s="6">
        <f>+(N8*40%)/$C$5</f>
        <v/>
      </c>
      <c r="N5" s="7">
        <f>+M5*C5</f>
        <v/>
      </c>
      <c r="O5" s="9">
        <f>+P8/C5</f>
        <v/>
      </c>
      <c r="P5" s="7">
        <f>+O5*C5</f>
        <v/>
      </c>
      <c r="Q5" s="6" t="n">
        <v>753.444740050992</v>
      </c>
      <c r="R5" s="7">
        <f>+Q5*C5</f>
        <v/>
      </c>
      <c r="S5" s="10">
        <f>+X3</f>
        <v/>
      </c>
      <c r="T5" s="7">
        <f>+S5*C5</f>
        <v/>
      </c>
      <c r="U5" s="11">
        <f>+B5-E5-G5-Q5-S5-K5-I5-M5-O5</f>
        <v/>
      </c>
      <c r="W5" t="inlineStr">
        <is>
          <t>Petrol Power</t>
        </is>
      </c>
      <c r="X5" s="2">
        <f>+SUMIFS(C17:C27,B17:B27,W5)</f>
        <v/>
      </c>
    </row>
    <row r="6" customFormat="1" s="2">
      <c r="A6" s="3" t="inlineStr">
        <is>
          <t>Petrol Power</t>
        </is>
      </c>
      <c r="B6" s="12">
        <f>+(J13+J14+J15)/$C$6</f>
        <v/>
      </c>
      <c r="C6" s="4" t="n">
        <v>112.8</v>
      </c>
      <c r="D6" s="5">
        <f>B6*C6</f>
        <v/>
      </c>
      <c r="E6" s="6" t="n">
        <v>0</v>
      </c>
      <c r="F6" s="7">
        <f>+E6*C6</f>
        <v/>
      </c>
      <c r="G6" s="6" t="n"/>
      <c r="H6" s="7">
        <f>+G6*C6</f>
        <v/>
      </c>
      <c r="I6" s="6" t="n">
        <v>0</v>
      </c>
      <c r="J6" s="7">
        <f>+I6*C6</f>
        <v/>
      </c>
      <c r="K6" s="6" t="n">
        <v>0</v>
      </c>
      <c r="L6" s="7">
        <f>+K6*C6</f>
        <v/>
      </c>
      <c r="M6" s="9" t="n">
        <v>0</v>
      </c>
      <c r="N6" s="7">
        <f>+M6*C6</f>
        <v/>
      </c>
      <c r="O6" s="9" t="n"/>
      <c r="P6" s="7">
        <f>+O6*C6</f>
        <v/>
      </c>
      <c r="Q6" s="6" t="n">
        <v>27.52659574468085</v>
      </c>
      <c r="R6" s="7">
        <f>+Q6*C6</f>
        <v/>
      </c>
      <c r="S6" s="10">
        <f>+X5</f>
        <v/>
      </c>
      <c r="T6" s="7">
        <f>+S6*C6</f>
        <v/>
      </c>
      <c r="U6" s="11">
        <f>+B6-E6-G6-Q6-S6-K6-I6-M6-O6</f>
        <v/>
      </c>
    </row>
    <row r="7" customFormat="1" s="2">
      <c r="A7" s="3" t="n"/>
      <c r="B7" s="38">
        <f>SUM(B4:B6)</f>
        <v/>
      </c>
      <c r="C7" s="3" t="n"/>
      <c r="D7" s="13">
        <f>SUM(D4:D6)</f>
        <v/>
      </c>
      <c r="E7" s="14">
        <f>SUM(E4:E6)</f>
        <v/>
      </c>
      <c r="F7" s="15">
        <f>SUM(F4:F6)</f>
        <v/>
      </c>
      <c r="G7" s="14">
        <f>SUM(G4:G6)</f>
        <v/>
      </c>
      <c r="H7" s="15">
        <f>SUM(H4:H6)</f>
        <v/>
      </c>
      <c r="I7" s="14">
        <f>SUM(I4:I6)</f>
        <v/>
      </c>
      <c r="J7" s="15">
        <f>SUM(J4:J6)</f>
        <v/>
      </c>
      <c r="K7" s="14">
        <f>SUM(K4:K6)</f>
        <v/>
      </c>
      <c r="L7" s="15">
        <f>SUM(L4:L6)</f>
        <v/>
      </c>
      <c r="M7" s="14">
        <f>SUM(M4:M6)</f>
        <v/>
      </c>
      <c r="N7" s="15">
        <f>SUM(N4:N6)</f>
        <v/>
      </c>
      <c r="O7" s="14">
        <f>SUM(O4:O6)</f>
        <v/>
      </c>
      <c r="P7" s="15">
        <f>SUM(P4:P6)</f>
        <v/>
      </c>
      <c r="Q7" s="14">
        <f>SUM(Q4:Q6)</f>
        <v/>
      </c>
      <c r="R7" s="15">
        <f>SUM(R4:R6)</f>
        <v/>
      </c>
      <c r="S7" s="14">
        <f>SUM(S4:S6)</f>
        <v/>
      </c>
      <c r="T7" s="15">
        <f>SUM(T4:T6)</f>
        <v/>
      </c>
      <c r="U7" s="11">
        <f>+B7-E7-G7-Q7-S7-K7-I7-M7-O7</f>
        <v/>
      </c>
    </row>
    <row r="8" ht="15" customFormat="1" customHeight="1" s="2" thickBot="1">
      <c r="A8" s="52" t="inlineStr">
        <is>
          <t>Actual Amount</t>
        </is>
      </c>
      <c r="B8" s="53" t="n"/>
      <c r="C8" s="16" t="n"/>
      <c r="D8" s="17" t="n"/>
      <c r="E8" s="18" t="n"/>
      <c r="F8" s="19" t="n">
        <v>0</v>
      </c>
      <c r="G8" s="18" t="n"/>
      <c r="H8" s="19" t="n">
        <v>83545.92999999999</v>
      </c>
      <c r="I8" s="18" t="n"/>
      <c r="J8" s="19" t="n">
        <v>1600</v>
      </c>
      <c r="K8" s="18" t="n"/>
      <c r="L8" s="19" t="n">
        <v>15153.51</v>
      </c>
      <c r="M8" s="20" t="n"/>
      <c r="N8" s="19" t="n">
        <v>72777.07000000001</v>
      </c>
      <c r="O8" s="20" t="inlineStr"/>
      <c r="P8" s="19" t="n">
        <v>0</v>
      </c>
      <c r="Q8" s="18" t="n">
        <v>0</v>
      </c>
      <c r="R8" s="19" t="n">
        <v>168136</v>
      </c>
      <c r="S8" s="18" t="n"/>
      <c r="T8" s="19" t="n">
        <v>73770</v>
      </c>
      <c r="U8" s="17" t="n"/>
    </row>
    <row r="9" ht="15.6" customHeight="1" s="69" thickBot="1" thickTop="1">
      <c r="A9" s="48" t="inlineStr">
        <is>
          <t>Diffrence should be zero</t>
        </is>
      </c>
      <c r="B9" s="49" t="n"/>
      <c r="C9" s="49" t="n"/>
      <c r="D9" s="21" t="n"/>
      <c r="E9" s="21" t="n"/>
      <c r="F9" s="22">
        <f>+F7-F8</f>
        <v/>
      </c>
      <c r="G9" s="21" t="n"/>
      <c r="H9" s="22">
        <f>+H7-H8</f>
        <v/>
      </c>
      <c r="I9" s="21" t="n"/>
      <c r="J9" s="22">
        <f>+J7-J8</f>
        <v/>
      </c>
      <c r="K9" s="21" t="n"/>
      <c r="L9" s="22">
        <f>+L7-L8</f>
        <v/>
      </c>
      <c r="M9" s="22" t="n"/>
      <c r="N9" s="22">
        <f>+N7-N8</f>
        <v/>
      </c>
      <c r="O9" s="22" t="n"/>
      <c r="P9" s="22">
        <f>+P7-P8</f>
        <v/>
      </c>
      <c r="Q9" s="21" t="n"/>
      <c r="R9" s="22">
        <f>+R7-R8</f>
        <v/>
      </c>
      <c r="S9" s="21" t="n"/>
      <c r="T9" s="22">
        <f>+T7-T8</f>
        <v/>
      </c>
      <c r="U9" s="23" t="n"/>
    </row>
    <row r="10" ht="15" customHeight="1" s="69" thickTop="1">
      <c r="A10" s="24" t="n"/>
      <c r="B10" s="24" t="n">
        <v>0</v>
      </c>
      <c r="C10" s="24" t="n"/>
      <c r="D10" s="2" t="n"/>
      <c r="E10" s="2" t="n"/>
      <c r="F10" s="25" t="n"/>
      <c r="G10" s="2" t="n"/>
      <c r="H10" s="25" t="n"/>
      <c r="I10" s="2" t="n"/>
      <c r="J10" s="25" t="n"/>
      <c r="K10" s="2" t="n"/>
      <c r="L10" s="6" t="n"/>
      <c r="M10" s="2" t="n"/>
      <c r="N10" s="25" t="n"/>
      <c r="O10" s="25" t="n"/>
      <c r="P10" s="25" t="n"/>
      <c r="Q10" s="25" t="n"/>
      <c r="R10" s="25" t="n"/>
      <c r="S10" s="2" t="n"/>
      <c r="T10" s="25" t="n"/>
      <c r="U10" s="2" t="n"/>
    </row>
    <row r="11">
      <c r="A11" s="26" t="inlineStr">
        <is>
          <t>sales value diff</t>
        </is>
      </c>
      <c r="D11" s="27">
        <f>+D7-F8-H8-L8-J8-R8-T8-N8-P8</f>
        <v/>
      </c>
      <c r="F11" s="72" t="n"/>
      <c r="M11" s="72" t="n"/>
    </row>
    <row r="12">
      <c r="F12" s="72" t="n"/>
      <c r="G12" s="72" t="n"/>
      <c r="H12" s="29" t="inlineStr">
        <is>
          <t>Petrol</t>
        </is>
      </c>
      <c r="I12" s="29" t="inlineStr">
        <is>
          <t>Diesal</t>
        </is>
      </c>
      <c r="J12" s="29" t="inlineStr">
        <is>
          <t>Power</t>
        </is>
      </c>
    </row>
    <row r="13">
      <c r="A13" s="58" t="inlineStr">
        <is>
          <t>CREDIT DETAIL</t>
        </is>
      </c>
      <c r="B13" s="59" t="n"/>
      <c r="C13" s="59" t="n"/>
      <c r="D13" s="59" t="n"/>
      <c r="E13" s="59" t="n"/>
      <c r="F13" s="57" t="n"/>
      <c r="H13" s="79" t="n">
        <v>94011</v>
      </c>
      <c r="I13" s="80" t="n">
        <v>54252</v>
      </c>
      <c r="J13" s="79" t="n">
        <v>3105</v>
      </c>
    </row>
    <row r="14">
      <c r="A14" s="29" t="inlineStr">
        <is>
          <t>particular</t>
        </is>
      </c>
      <c r="B14" s="29" t="inlineStr">
        <is>
          <t xml:space="preserve">Type </t>
        </is>
      </c>
      <c r="C14" s="31" t="inlineStr">
        <is>
          <t>QTY</t>
        </is>
      </c>
      <c r="D14" s="31" t="inlineStr">
        <is>
          <t>RATE</t>
        </is>
      </c>
      <c r="E14" s="31" t="inlineStr">
        <is>
          <t>AMOUNT</t>
        </is>
      </c>
      <c r="F14" s="32" t="inlineStr">
        <is>
          <t>inv no</t>
        </is>
      </c>
      <c r="H14" s="79" t="n">
        <v>122499</v>
      </c>
      <c r="I14" s="80" t="n">
        <v>97438</v>
      </c>
      <c r="J14" s="79" t="n"/>
      <c r="K14" s="74" t="n"/>
      <c r="L14" s="74" t="n"/>
      <c r="M14" s="74" t="n"/>
    </row>
    <row r="15">
      <c r="A15" s="33" t="inlineStr">
        <is>
          <t>Piploda</t>
        </is>
      </c>
      <c r="B15" s="34" t="inlineStr">
        <is>
          <t>diesal</t>
        </is>
      </c>
      <c r="C15" s="29">
        <f>+E15/D15</f>
        <v/>
      </c>
      <c r="D15" s="79">
        <f>+VLOOKUP(B15,A$4:C$6,3,0)</f>
        <v/>
      </c>
      <c r="E15" s="81" t="n">
        <v>22503.78</v>
      </c>
      <c r="F15" s="34" t="n">
        <v>21291</v>
      </c>
      <c r="H15" s="80" t="n"/>
      <c r="I15" s="80" t="n">
        <v>43678</v>
      </c>
      <c r="J15" s="80" t="n"/>
      <c r="K15" s="72" t="n"/>
    </row>
    <row r="16">
      <c r="A16" s="33" t="inlineStr">
        <is>
          <t>Balaji Care and Cure</t>
        </is>
      </c>
      <c r="B16" s="34" t="inlineStr">
        <is>
          <t>diesal</t>
        </is>
      </c>
      <c r="C16" s="29">
        <f>+E16/D16</f>
        <v/>
      </c>
      <c r="D16" s="79">
        <f>+VLOOKUP(B16,A$4:C$6,3,0)</f>
        <v/>
      </c>
      <c r="E16" s="81" t="n">
        <v>4800.95</v>
      </c>
      <c r="F16" s="34" t="n">
        <v>21292</v>
      </c>
      <c r="H16" s="79">
        <f>+H24/C4</f>
        <v/>
      </c>
      <c r="I16" s="43">
        <f>+I24/C5</f>
        <v/>
      </c>
      <c r="J16" s="43">
        <f>+J24/C6</f>
        <v/>
      </c>
      <c r="K16" s="72" t="n"/>
      <c r="M16" s="72" t="n"/>
    </row>
    <row r="17">
      <c r="A17" s="33" t="inlineStr">
        <is>
          <t>Pramod Yadav</t>
        </is>
      </c>
      <c r="B17" s="34" t="inlineStr">
        <is>
          <t>diesal</t>
        </is>
      </c>
      <c r="C17" s="29">
        <f>+E17/D17</f>
        <v/>
      </c>
      <c r="D17" s="79">
        <f>+VLOOKUP(B17,A$4:C$6,3,0)</f>
        <v/>
      </c>
      <c r="E17" s="82" t="n">
        <v>10193.73</v>
      </c>
      <c r="F17" s="34" t="n">
        <v>21293</v>
      </c>
      <c r="H17" s="72" t="n"/>
      <c r="K17" s="72" t="n"/>
    </row>
    <row r="18">
      <c r="A18" s="33" t="inlineStr">
        <is>
          <t>sayar School</t>
        </is>
      </c>
      <c r="B18" s="34" t="inlineStr">
        <is>
          <t>diesal</t>
        </is>
      </c>
      <c r="C18" s="29">
        <f>+E18/D18</f>
        <v/>
      </c>
      <c r="D18" s="79">
        <f>+VLOOKUP(B18,A$4:C$6,3,0)</f>
        <v/>
      </c>
      <c r="E18" s="82" t="n">
        <v>25772.09</v>
      </c>
      <c r="F18" s="34" t="n">
        <v>21294</v>
      </c>
    </row>
    <row r="19">
      <c r="A19" s="33" t="n"/>
      <c r="B19" s="34" t="inlineStr">
        <is>
          <t>diesal</t>
        </is>
      </c>
      <c r="C19" s="29">
        <f>+E19/D19</f>
        <v/>
      </c>
      <c r="D19" s="79">
        <f>+VLOOKUP(B19,A$4:C$6,3,0)</f>
        <v/>
      </c>
      <c r="E19" s="82" t="n"/>
      <c r="F19" s="39" t="n"/>
      <c r="K19" s="72" t="n"/>
      <c r="M19" s="72" t="n"/>
    </row>
    <row r="20">
      <c r="A20" s="33" t="n"/>
      <c r="B20" s="34" t="inlineStr">
        <is>
          <t>diesal</t>
        </is>
      </c>
      <c r="C20" s="29">
        <f>+E20/D20</f>
        <v/>
      </c>
      <c r="D20" s="79">
        <f>+VLOOKUP(B20,A$4:C$6,3,0)</f>
        <v/>
      </c>
      <c r="E20" s="82" t="n"/>
      <c r="F20" s="79" t="n"/>
      <c r="K20" s="72" t="n"/>
    </row>
    <row r="21">
      <c r="A21" s="33" t="n"/>
      <c r="B21" s="34" t="inlineStr">
        <is>
          <t>diesal</t>
        </is>
      </c>
      <c r="C21" s="29">
        <f>+E21/D21</f>
        <v/>
      </c>
      <c r="D21" s="79">
        <f>+VLOOKUP(B21,A$4:C$6,3,0)</f>
        <v/>
      </c>
      <c r="E21" s="82" t="n"/>
      <c r="F21" s="35" t="n"/>
      <c r="H21" s="71" t="n"/>
      <c r="K21" s="72" t="n"/>
      <c r="M21" s="72" t="n"/>
    </row>
    <row r="22">
      <c r="A22" s="33" t="n"/>
      <c r="B22" s="34" t="inlineStr">
        <is>
          <t>diesal</t>
        </is>
      </c>
      <c r="C22" s="29">
        <f>+E22/D22</f>
        <v/>
      </c>
      <c r="D22" s="79">
        <f>+VLOOKUP(B22,A$4:C$6,3,0)</f>
        <v/>
      </c>
      <c r="E22" s="82" t="n"/>
      <c r="F22" s="79" t="n"/>
    </row>
    <row r="23">
      <c r="A23" s="34" t="n"/>
      <c r="B23" s="34" t="inlineStr">
        <is>
          <t>diesal</t>
        </is>
      </c>
      <c r="C23" s="29">
        <f>+E23/D23</f>
        <v/>
      </c>
      <c r="D23" s="79">
        <f>+VLOOKUP(B23,A$4:C$6,3,0)</f>
        <v/>
      </c>
      <c r="E23" s="82" t="n"/>
      <c r="F23" s="79" t="n"/>
    </row>
    <row r="24">
      <c r="A24" s="34" t="n"/>
      <c r="B24" s="34" t="inlineStr">
        <is>
          <t>diesal</t>
        </is>
      </c>
      <c r="C24" s="29">
        <f>+E24/D24</f>
        <v/>
      </c>
      <c r="D24" s="79">
        <f>+VLOOKUP(B24,A$4:C$6,3,0)</f>
        <v/>
      </c>
      <c r="E24" s="29" t="n"/>
      <c r="F24" s="79" t="n"/>
      <c r="H24" s="72" t="n"/>
      <c r="I24" s="72" t="n"/>
      <c r="J24" s="72" t="n"/>
    </row>
    <row r="25">
      <c r="A25" s="34" t="n"/>
      <c r="B25" s="34" t="inlineStr">
        <is>
          <t>diesal</t>
        </is>
      </c>
      <c r="C25" s="29">
        <f>+E25/D25</f>
        <v/>
      </c>
      <c r="D25" s="79">
        <f>+VLOOKUP(B25,A$4:C$6,3,0)</f>
        <v/>
      </c>
      <c r="E25" s="29" t="n"/>
      <c r="F25" s="79" t="n"/>
      <c r="H25" s="72" t="n"/>
    </row>
    <row r="26">
      <c r="A26" s="79" t="n"/>
      <c r="B26" s="79" t="n"/>
      <c r="C26" s="29">
        <f>SUM(C15:C25)</f>
        <v/>
      </c>
      <c r="D26" s="29" t="n"/>
      <c r="E26" s="29">
        <f>SUM(E15:E25)</f>
        <v/>
      </c>
      <c r="F26" s="79" t="n"/>
    </row>
    <row r="50">
      <c r="E50" t="n">
        <v>9</v>
      </c>
    </row>
  </sheetData>
  <mergeCells count="16">
    <mergeCell ref="O2:P2"/>
    <mergeCell ref="M2:N2"/>
    <mergeCell ref="S2:T2"/>
    <mergeCell ref="Q2:R2"/>
    <mergeCell ref="A13:F13"/>
    <mergeCell ref="G2:H2"/>
    <mergeCell ref="E2:F2"/>
    <mergeCell ref="K2:L2"/>
    <mergeCell ref="I2:J2"/>
    <mergeCell ref="U2:U3"/>
    <mergeCell ref="C2:C3"/>
    <mergeCell ref="A9:C9"/>
    <mergeCell ref="B2:B3"/>
    <mergeCell ref="A2:A3"/>
    <mergeCell ref="D2:D3"/>
    <mergeCell ref="A8:B8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50"/>
  <sheetViews>
    <sheetView workbookViewId="0">
      <selection activeCell="A1" sqref="A1"/>
    </sheetView>
  </sheetViews>
  <sheetFormatPr baseColWidth="8" defaultColWidth="9.109375" defaultRowHeight="14.4"/>
  <cols>
    <col width="13.109375" customWidth="1" style="69" min="1" max="1"/>
    <col width="12" customWidth="1" style="69" min="2" max="2"/>
    <col width="12" customWidth="1" style="69" min="4" max="4"/>
    <col width="13.109375" customWidth="1" style="69" min="5" max="5"/>
    <col width="14" customWidth="1" style="69" min="6" max="6"/>
    <col width="10.109375" customWidth="1" style="69" min="7" max="7"/>
    <col width="10.6640625" customWidth="1" style="69" min="8" max="8"/>
    <col width="9.5546875" customWidth="1" style="69" min="9" max="9"/>
    <col width="10.6640625" customWidth="1" style="69" min="10" max="14"/>
    <col width="13.44140625" customWidth="1" style="69" min="15" max="15"/>
    <col width="11.88671875" customWidth="1" style="69" min="16" max="16"/>
    <col width="10.6640625" customWidth="1" style="69" min="18" max="18"/>
    <col width="9.5546875" customWidth="1" style="69" min="19" max="19"/>
    <col width="10.6640625" customWidth="1" style="69" min="20" max="20"/>
    <col width="9.6640625" customWidth="1" style="69" min="21" max="21"/>
    <col width="12.5546875" customWidth="1" style="69" min="23" max="23"/>
    <col width="12" customWidth="1" style="69" min="24" max="24"/>
  </cols>
  <sheetData>
    <row r="1" ht="18.6" customHeight="1" s="69"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</row>
    <row r="2" ht="18.6" customHeight="1" s="69">
      <c r="A2" s="47" t="inlineStr">
        <is>
          <t>Particular</t>
        </is>
      </c>
      <c r="B2" s="47" t="inlineStr">
        <is>
          <t>Qty</t>
        </is>
      </c>
      <c r="C2" s="47" t="inlineStr">
        <is>
          <t>Rate</t>
        </is>
      </c>
      <c r="D2" s="50" t="inlineStr">
        <is>
          <t>Amount</t>
        </is>
      </c>
      <c r="E2" s="56" t="inlineStr">
        <is>
          <t>Pos SBI</t>
        </is>
      </c>
      <c r="F2" s="57" t="n"/>
      <c r="G2" s="56" t="inlineStr">
        <is>
          <t>Paytm</t>
        </is>
      </c>
      <c r="H2" s="57" t="n"/>
      <c r="I2" s="56" t="inlineStr">
        <is>
          <t>HP Card</t>
        </is>
      </c>
      <c r="J2" s="57" t="n"/>
      <c r="K2" s="56" t="inlineStr">
        <is>
          <t>ICICI</t>
        </is>
      </c>
      <c r="L2" s="57" t="n"/>
      <c r="M2" s="56" t="inlineStr">
        <is>
          <t>phone pe</t>
        </is>
      </c>
      <c r="N2" s="57" t="n"/>
      <c r="O2" s="54" t="inlineStr">
        <is>
          <t>mobiquick</t>
        </is>
      </c>
      <c r="P2" s="55" t="n"/>
      <c r="Q2" s="56" t="inlineStr">
        <is>
          <t xml:space="preserve">CASH </t>
        </is>
      </c>
      <c r="R2" s="57" t="n"/>
      <c r="S2" s="56" t="inlineStr">
        <is>
          <t>Credit</t>
        </is>
      </c>
      <c r="T2" s="57" t="n"/>
      <c r="U2" s="45" t="inlineStr">
        <is>
          <t>Qty Diffrence</t>
        </is>
      </c>
      <c r="W2" s="2" t="n"/>
      <c r="X2" s="2" t="n"/>
    </row>
    <row r="3" ht="18.6" customHeight="1" s="69">
      <c r="A3" s="46" t="n"/>
      <c r="B3" s="46" t="n"/>
      <c r="C3" s="46" t="n"/>
      <c r="D3" s="51" t="n"/>
      <c r="E3" s="56" t="inlineStr">
        <is>
          <t>Qty</t>
        </is>
      </c>
      <c r="F3" s="41" t="inlineStr">
        <is>
          <t>Amount</t>
        </is>
      </c>
      <c r="G3" s="56" t="inlineStr">
        <is>
          <t>Qty</t>
        </is>
      </c>
      <c r="H3" s="41" t="inlineStr">
        <is>
          <t>Amount</t>
        </is>
      </c>
      <c r="I3" s="56" t="inlineStr">
        <is>
          <t>Qty</t>
        </is>
      </c>
      <c r="J3" s="41" t="inlineStr">
        <is>
          <t>Amount</t>
        </is>
      </c>
      <c r="K3" s="56" t="inlineStr">
        <is>
          <t>Qty</t>
        </is>
      </c>
      <c r="L3" s="41" t="inlineStr">
        <is>
          <t>Amount</t>
        </is>
      </c>
      <c r="M3" s="56" t="inlineStr">
        <is>
          <t>Qty</t>
        </is>
      </c>
      <c r="N3" s="41" t="inlineStr">
        <is>
          <t>Amount</t>
        </is>
      </c>
      <c r="O3" s="56" t="inlineStr">
        <is>
          <t>Qty</t>
        </is>
      </c>
      <c r="P3" s="41" t="inlineStr">
        <is>
          <t>Amount</t>
        </is>
      </c>
      <c r="Q3" s="56" t="inlineStr">
        <is>
          <t>Qty</t>
        </is>
      </c>
      <c r="R3" s="41" t="inlineStr">
        <is>
          <t>Amount</t>
        </is>
      </c>
      <c r="S3" s="56" t="inlineStr">
        <is>
          <t>Qty</t>
        </is>
      </c>
      <c r="T3" s="41" t="inlineStr">
        <is>
          <t>Amount</t>
        </is>
      </c>
      <c r="U3" s="46" t="n"/>
      <c r="W3" s="2" t="inlineStr">
        <is>
          <t>diesal</t>
        </is>
      </c>
      <c r="X3" s="2">
        <f>+SUMIFS(C15:C25,B15:B25,W3)</f>
        <v/>
      </c>
    </row>
    <row r="4" customFormat="1" s="2">
      <c r="A4" s="3" t="inlineStr">
        <is>
          <t>Petrol</t>
        </is>
      </c>
      <c r="B4" s="12">
        <f>+(H13+H14+H15)/$C$4</f>
        <v/>
      </c>
      <c r="C4" s="4" t="n">
        <v>104.71</v>
      </c>
      <c r="D4" s="5">
        <f>B4*C4</f>
        <v/>
      </c>
      <c r="E4" s="6" t="n">
        <v>0</v>
      </c>
      <c r="F4" s="7">
        <f>+E4*C4</f>
        <v/>
      </c>
      <c r="G4" s="9">
        <f>+(H8*60%)/$C$4</f>
        <v/>
      </c>
      <c r="H4" s="7">
        <f>+G4*C4</f>
        <v/>
      </c>
      <c r="I4" s="6">
        <f>J4/C4</f>
        <v/>
      </c>
      <c r="J4" s="7" t="n">
        <v>0</v>
      </c>
      <c r="K4" s="8">
        <f>+L8/$C$4</f>
        <v/>
      </c>
      <c r="L4" s="7">
        <f>+K4*C4</f>
        <v/>
      </c>
      <c r="M4" s="9">
        <f>+(N8*60%)/$C$4</f>
        <v/>
      </c>
      <c r="N4" s="7">
        <f>+M4*C4</f>
        <v/>
      </c>
      <c r="O4" s="9" t="n"/>
      <c r="P4" s="7">
        <f>+O4*C4</f>
        <v/>
      </c>
      <c r="Q4" s="6" t="n">
        <v>621.1407697450101</v>
      </c>
      <c r="R4" s="7">
        <f>+Q4*C4</f>
        <v/>
      </c>
      <c r="S4" s="10">
        <f>+X4</f>
        <v/>
      </c>
      <c r="T4" s="7">
        <f>+S4*C4</f>
        <v/>
      </c>
      <c r="U4" s="11">
        <f>+B4-E4-G4-Q4-S4-K4-I4-M4-O4</f>
        <v/>
      </c>
      <c r="W4" t="inlineStr">
        <is>
          <t>petrol</t>
        </is>
      </c>
      <c r="X4" s="2">
        <f>+SUMIFS(C15:C26,B15:B26,W4)</f>
        <v/>
      </c>
    </row>
    <row r="5" customFormat="1" s="2">
      <c r="A5" s="3" t="inlineStr">
        <is>
          <t>Diesal</t>
        </is>
      </c>
      <c r="B5" s="12">
        <f>+(I13+I14+I15)/$C$5</f>
        <v/>
      </c>
      <c r="C5" s="4" t="n">
        <v>90.20999999999999</v>
      </c>
      <c r="D5" s="5">
        <f>B5*C5</f>
        <v/>
      </c>
      <c r="E5" s="6" t="n">
        <v>0</v>
      </c>
      <c r="F5" s="7">
        <f>+E5*C5</f>
        <v/>
      </c>
      <c r="G5" s="6">
        <f>+(H8*40%)/$C$5</f>
        <v/>
      </c>
      <c r="H5" s="7">
        <f>+G5*C5</f>
        <v/>
      </c>
      <c r="I5" s="6">
        <f>+J8/C5</f>
        <v/>
      </c>
      <c r="J5" s="7">
        <f>+I5*C5</f>
        <v/>
      </c>
      <c r="K5" s="6" t="n">
        <v>0</v>
      </c>
      <c r="L5" s="7">
        <f>+K5*C5</f>
        <v/>
      </c>
      <c r="M5" s="6">
        <f>+(N8*40%)/$C$5</f>
        <v/>
      </c>
      <c r="N5" s="7">
        <f>+M5*C5</f>
        <v/>
      </c>
      <c r="O5" s="9">
        <f>+P8/C5</f>
        <v/>
      </c>
      <c r="P5" s="7">
        <f>+O5*C5</f>
        <v/>
      </c>
      <c r="Q5" s="6" t="n">
        <v>670.4240106418356</v>
      </c>
      <c r="R5" s="7">
        <f>+Q5*C5</f>
        <v/>
      </c>
      <c r="S5" s="10">
        <f>+X3</f>
        <v/>
      </c>
      <c r="T5" s="7">
        <f>+S5*C5</f>
        <v/>
      </c>
      <c r="U5" s="11">
        <f>+B5-E5-G5-Q5-S5-K5-I5-M5-O5</f>
        <v/>
      </c>
      <c r="W5" t="inlineStr">
        <is>
          <t>Petrol Power</t>
        </is>
      </c>
      <c r="X5" s="2">
        <f>+SUMIFS(C17:C27,B17:B27,W5)</f>
        <v/>
      </c>
    </row>
    <row r="6" customFormat="1" s="2">
      <c r="A6" s="3" t="inlineStr">
        <is>
          <t>Petrol Power</t>
        </is>
      </c>
      <c r="B6" s="12">
        <f>+(J13+J14+J15)/$C$6</f>
        <v/>
      </c>
      <c r="C6" s="4" t="n">
        <v>112.8</v>
      </c>
      <c r="D6" s="5">
        <f>B6*C6</f>
        <v/>
      </c>
      <c r="E6" s="6" t="n">
        <v>0</v>
      </c>
      <c r="F6" s="7">
        <f>+E6*C6</f>
        <v/>
      </c>
      <c r="G6" s="6" t="n"/>
      <c r="H6" s="7">
        <f>+G6*C6</f>
        <v/>
      </c>
      <c r="I6" s="6" t="n">
        <v>0</v>
      </c>
      <c r="J6" s="7">
        <f>+I6*C6</f>
        <v/>
      </c>
      <c r="K6" s="6" t="n">
        <v>0</v>
      </c>
      <c r="L6" s="7">
        <f>+K6*C6</f>
        <v/>
      </c>
      <c r="M6" s="9" t="n">
        <v>0</v>
      </c>
      <c r="N6" s="7">
        <f>+M6*C6</f>
        <v/>
      </c>
      <c r="O6" s="9" t="n"/>
      <c r="P6" s="7">
        <f>+O6*C6</f>
        <v/>
      </c>
      <c r="Q6" s="6" t="n">
        <v>89.90248226950355</v>
      </c>
      <c r="R6" s="7">
        <f>+Q6*C6</f>
        <v/>
      </c>
      <c r="S6" s="10">
        <f>+X5</f>
        <v/>
      </c>
      <c r="T6" s="7">
        <f>+S6*C6</f>
        <v/>
      </c>
      <c r="U6" s="11">
        <f>+B6-E6-G6-Q6-S6-K6-I6-M6-O6</f>
        <v/>
      </c>
    </row>
    <row r="7" customFormat="1" s="2">
      <c r="A7" s="3" t="n"/>
      <c r="B7" s="38">
        <f>SUM(B4:B6)</f>
        <v/>
      </c>
      <c r="C7" s="3" t="n"/>
      <c r="D7" s="13">
        <f>SUM(D4:D6)</f>
        <v/>
      </c>
      <c r="E7" s="14">
        <f>SUM(E4:E6)</f>
        <v/>
      </c>
      <c r="F7" s="15">
        <f>SUM(F4:F6)</f>
        <v/>
      </c>
      <c r="G7" s="14">
        <f>SUM(G4:G6)</f>
        <v/>
      </c>
      <c r="H7" s="15">
        <f>SUM(H4:H6)</f>
        <v/>
      </c>
      <c r="I7" s="14">
        <f>SUM(I4:I6)</f>
        <v/>
      </c>
      <c r="J7" s="15">
        <f>SUM(J4:J6)</f>
        <v/>
      </c>
      <c r="K7" s="14">
        <f>SUM(K4:K6)</f>
        <v/>
      </c>
      <c r="L7" s="15">
        <f>SUM(L4:L6)</f>
        <v/>
      </c>
      <c r="M7" s="14">
        <f>SUM(M4:M6)</f>
        <v/>
      </c>
      <c r="N7" s="15">
        <f>SUM(N4:N6)</f>
        <v/>
      </c>
      <c r="O7" s="14">
        <f>SUM(O4:O6)</f>
        <v/>
      </c>
      <c r="P7" s="15">
        <f>SUM(P4:P6)</f>
        <v/>
      </c>
      <c r="Q7" s="14">
        <f>SUM(Q4:Q6)</f>
        <v/>
      </c>
      <c r="R7" s="15">
        <f>SUM(R4:R6)</f>
        <v/>
      </c>
      <c r="S7" s="14">
        <f>SUM(S4:S6)</f>
        <v/>
      </c>
      <c r="T7" s="15">
        <f>SUM(T4:T6)</f>
        <v/>
      </c>
      <c r="U7" s="11">
        <f>+B7-E7-G7-Q7-S7-K7-I7-M7-O7</f>
        <v/>
      </c>
    </row>
    <row r="8" ht="15" customFormat="1" customHeight="1" s="2" thickBot="1">
      <c r="A8" s="52" t="inlineStr">
        <is>
          <t>Actual Amount</t>
        </is>
      </c>
      <c r="B8" s="53" t="n"/>
      <c r="C8" s="16" t="n"/>
      <c r="D8" s="17" t="n"/>
      <c r="E8" s="18" t="n"/>
      <c r="F8" s="19" t="n">
        <v>0</v>
      </c>
      <c r="G8" s="18" t="n"/>
      <c r="H8" s="19" t="n">
        <v>93283.07000000001</v>
      </c>
      <c r="I8" s="18" t="n"/>
      <c r="J8" s="19" t="n">
        <v>4135</v>
      </c>
      <c r="K8" s="18" t="n"/>
      <c r="L8" s="19" t="n">
        <v>11204.63</v>
      </c>
      <c r="M8" s="20" t="n"/>
      <c r="N8" s="19" t="n">
        <v>77528.13</v>
      </c>
      <c r="O8" s="20" t="inlineStr"/>
      <c r="P8" s="19" t="n">
        <v>0</v>
      </c>
      <c r="Q8" s="18" t="n">
        <v>0</v>
      </c>
      <c r="R8" s="19" t="n">
        <v>134069</v>
      </c>
      <c r="S8" s="18" t="n"/>
      <c r="T8" s="19" t="n">
        <v>43207</v>
      </c>
      <c r="U8" s="17" t="n"/>
    </row>
    <row r="9" ht="15.6" customHeight="1" s="69" thickBot="1" thickTop="1">
      <c r="A9" s="48" t="inlineStr">
        <is>
          <t>Diffrence should be zero</t>
        </is>
      </c>
      <c r="B9" s="49" t="n"/>
      <c r="C9" s="49" t="n"/>
      <c r="D9" s="21" t="n"/>
      <c r="E9" s="21" t="n"/>
      <c r="F9" s="22">
        <f>+F7-F8</f>
        <v/>
      </c>
      <c r="G9" s="21" t="n"/>
      <c r="H9" s="22">
        <f>+H7-H8</f>
        <v/>
      </c>
      <c r="I9" s="21" t="n"/>
      <c r="J9" s="22">
        <f>+J7-J8</f>
        <v/>
      </c>
      <c r="K9" s="21" t="n"/>
      <c r="L9" s="22">
        <f>+L7-L8</f>
        <v/>
      </c>
      <c r="M9" s="22" t="n"/>
      <c r="N9" s="22">
        <f>+N7-N8</f>
        <v/>
      </c>
      <c r="O9" s="22" t="n"/>
      <c r="P9" s="22">
        <f>+P7-P8</f>
        <v/>
      </c>
      <c r="Q9" s="21" t="n"/>
      <c r="R9" s="22">
        <f>+R7-R8</f>
        <v/>
      </c>
      <c r="S9" s="21" t="n"/>
      <c r="T9" s="22">
        <f>+T7-T8</f>
        <v/>
      </c>
      <c r="U9" s="23" t="n"/>
    </row>
    <row r="10" ht="15" customHeight="1" s="69" thickTop="1">
      <c r="A10" s="24" t="n"/>
      <c r="B10" s="24" t="n">
        <v>0</v>
      </c>
      <c r="C10" s="24" t="n"/>
      <c r="D10" s="2" t="n"/>
      <c r="E10" s="2" t="n"/>
      <c r="F10" s="25" t="n"/>
      <c r="G10" s="2" t="n"/>
      <c r="H10" s="25" t="n"/>
      <c r="I10" s="2" t="n"/>
      <c r="J10" s="25" t="n"/>
      <c r="K10" s="2" t="n"/>
      <c r="L10" s="6" t="n"/>
      <c r="M10" s="2" t="n"/>
      <c r="N10" s="25" t="n"/>
      <c r="O10" s="25" t="n"/>
      <c r="P10" s="25" t="n"/>
      <c r="Q10" s="25" t="n"/>
      <c r="R10" s="25" t="n"/>
      <c r="S10" s="2" t="n"/>
      <c r="T10" s="25" t="n"/>
      <c r="U10" s="2" t="n"/>
    </row>
    <row r="11">
      <c r="A11" s="26" t="inlineStr">
        <is>
          <t>sales value diff</t>
        </is>
      </c>
      <c r="D11" s="27">
        <f>+D7-F8-H8-L8-J8-R8-T8-N8-P8</f>
        <v/>
      </c>
      <c r="F11" s="72" t="n"/>
      <c r="M11" s="72" t="n"/>
    </row>
    <row r="12">
      <c r="F12" s="72" t="n"/>
      <c r="G12" s="72" t="n"/>
      <c r="H12" s="29" t="inlineStr">
        <is>
          <t>Petrol</t>
        </is>
      </c>
      <c r="I12" s="29" t="inlineStr">
        <is>
          <t>Diesal</t>
        </is>
      </c>
      <c r="J12" s="29" t="inlineStr">
        <is>
          <t>Power</t>
        </is>
      </c>
    </row>
    <row r="13">
      <c r="A13" s="58" t="inlineStr">
        <is>
          <t>CREDIT DETAIL</t>
        </is>
      </c>
      <c r="B13" s="59" t="n"/>
      <c r="C13" s="59" t="n"/>
      <c r="D13" s="59" t="n"/>
      <c r="E13" s="59" t="n"/>
      <c r="F13" s="57" t="n"/>
      <c r="H13" s="79" t="n">
        <v>92252</v>
      </c>
      <c r="I13" s="80" t="n">
        <v>47527</v>
      </c>
      <c r="J13" s="79" t="n">
        <v>10141</v>
      </c>
    </row>
    <row r="14">
      <c r="A14" s="29" t="inlineStr">
        <is>
          <t>particular</t>
        </is>
      </c>
      <c r="B14" s="29" t="inlineStr">
        <is>
          <t xml:space="preserve">Type </t>
        </is>
      </c>
      <c r="C14" s="31" t="inlineStr">
        <is>
          <t>QTY</t>
        </is>
      </c>
      <c r="D14" s="31" t="inlineStr">
        <is>
          <t>RATE</t>
        </is>
      </c>
      <c r="E14" s="31" t="inlineStr">
        <is>
          <t>AMOUNT</t>
        </is>
      </c>
      <c r="F14" s="32" t="inlineStr">
        <is>
          <t>inv no</t>
        </is>
      </c>
      <c r="H14" s="79" t="n">
        <v>86479</v>
      </c>
      <c r="I14" s="80" t="n">
        <v>99455</v>
      </c>
      <c r="J14" s="79" t="n"/>
      <c r="K14" s="74" t="n"/>
      <c r="L14" s="74" t="n"/>
      <c r="M14" s="74" t="n"/>
    </row>
    <row r="15">
      <c r="A15" s="33" t="inlineStr">
        <is>
          <t>mool Chand yadav</t>
        </is>
      </c>
      <c r="B15" s="34" t="inlineStr">
        <is>
          <t>diesal</t>
        </is>
      </c>
      <c r="C15" s="29">
        <f>+E15/D15</f>
        <v/>
      </c>
      <c r="D15" s="79">
        <f>+VLOOKUP(B15,A$4:C$6,3,0)</f>
        <v/>
      </c>
      <c r="E15" s="81" t="n">
        <v>13703.8</v>
      </c>
      <c r="F15" s="34" t="n">
        <v>21297</v>
      </c>
      <c r="H15" s="80" t="n"/>
      <c r="I15" s="80" t="n">
        <v>27573</v>
      </c>
      <c r="J15" s="80" t="n"/>
      <c r="K15" s="72" t="n"/>
    </row>
    <row r="16">
      <c r="A16" s="33" t="inlineStr">
        <is>
          <t>Pramod Yadav</t>
        </is>
      </c>
      <c r="B16" s="34" t="inlineStr">
        <is>
          <t>diesal</t>
        </is>
      </c>
      <c r="C16" s="29">
        <f>+E16/D16</f>
        <v/>
      </c>
      <c r="D16" s="79">
        <f>+VLOOKUP(B16,A$4:C$6,3,0)</f>
        <v/>
      </c>
      <c r="E16" s="81" t="n">
        <v>22500.17</v>
      </c>
      <c r="F16" s="34" t="n">
        <v>21298</v>
      </c>
      <c r="H16" s="79">
        <f>+H24/C4</f>
        <v/>
      </c>
      <c r="I16" s="43">
        <f>+I24/C5</f>
        <v/>
      </c>
      <c r="J16" s="43">
        <f>+J24/C6</f>
        <v/>
      </c>
      <c r="K16" s="72" t="n"/>
      <c r="M16" s="72" t="n"/>
    </row>
    <row r="17">
      <c r="A17" s="33" t="inlineStr">
        <is>
          <t>shankar lal</t>
        </is>
      </c>
      <c r="B17" s="34" t="inlineStr">
        <is>
          <t>diesal</t>
        </is>
      </c>
      <c r="C17" s="29">
        <f>+E17/D17</f>
        <v/>
      </c>
      <c r="D17" s="79">
        <f>+VLOOKUP(B17,A$4:C$6,3,0)</f>
        <v/>
      </c>
      <c r="E17" s="82" t="n">
        <v>5412.6</v>
      </c>
      <c r="F17" s="34" t="n">
        <v>21300</v>
      </c>
      <c r="H17" s="72" t="n"/>
      <c r="K17" s="72" t="n"/>
    </row>
    <row r="18">
      <c r="A18" s="33" t="n"/>
      <c r="B18" s="34" t="inlineStr">
        <is>
          <t>diesal</t>
        </is>
      </c>
      <c r="C18" s="29">
        <f>+E18/D18</f>
        <v/>
      </c>
      <c r="D18" s="79">
        <f>+VLOOKUP(B18,A$4:C$6,3,0)</f>
        <v/>
      </c>
      <c r="E18" s="82" t="n"/>
      <c r="F18" s="34" t="n"/>
    </row>
    <row r="19">
      <c r="A19" s="33" t="n"/>
      <c r="B19" s="34" t="inlineStr">
        <is>
          <t>diesal</t>
        </is>
      </c>
      <c r="C19" s="29">
        <f>+E19/D19</f>
        <v/>
      </c>
      <c r="D19" s="79">
        <f>+VLOOKUP(B19,A$4:C$6,3,0)</f>
        <v/>
      </c>
      <c r="E19" s="82" t="n"/>
      <c r="F19" s="39" t="n"/>
      <c r="K19" s="72" t="n"/>
      <c r="M19" s="72" t="n"/>
    </row>
    <row r="20">
      <c r="A20" s="33" t="n"/>
      <c r="B20" s="34" t="inlineStr">
        <is>
          <t>diesal</t>
        </is>
      </c>
      <c r="C20" s="29">
        <f>+E20/D20</f>
        <v/>
      </c>
      <c r="D20" s="79">
        <f>+VLOOKUP(B20,A$4:C$6,3,0)</f>
        <v/>
      </c>
      <c r="E20" s="82" t="n"/>
      <c r="F20" s="79" t="n"/>
      <c r="K20" s="72" t="n"/>
    </row>
    <row r="21">
      <c r="A21" s="33" t="n"/>
      <c r="B21" s="34" t="inlineStr">
        <is>
          <t>diesal</t>
        </is>
      </c>
      <c r="C21" s="29">
        <f>+E21/D21</f>
        <v/>
      </c>
      <c r="D21" s="79">
        <f>+VLOOKUP(B21,A$4:C$6,3,0)</f>
        <v/>
      </c>
      <c r="E21" s="82" t="n"/>
      <c r="F21" s="35" t="n"/>
      <c r="H21" s="71" t="n"/>
      <c r="K21" s="72" t="n"/>
      <c r="M21" s="72" t="n"/>
    </row>
    <row r="22">
      <c r="A22" s="33" t="n"/>
      <c r="B22" s="34" t="inlineStr">
        <is>
          <t>diesal</t>
        </is>
      </c>
      <c r="C22" s="29">
        <f>+E22/D22</f>
        <v/>
      </c>
      <c r="D22" s="79">
        <f>+VLOOKUP(B22,A$4:C$6,3,0)</f>
        <v/>
      </c>
      <c r="E22" s="82" t="n"/>
      <c r="F22" s="79" t="n"/>
    </row>
    <row r="23">
      <c r="A23" s="34" t="n"/>
      <c r="B23" s="34" t="inlineStr">
        <is>
          <t>diesal</t>
        </is>
      </c>
      <c r="C23" s="29">
        <f>+E23/D23</f>
        <v/>
      </c>
      <c r="D23" s="79">
        <f>+VLOOKUP(B23,A$4:C$6,3,0)</f>
        <v/>
      </c>
      <c r="E23" s="82" t="n"/>
      <c r="F23" s="79" t="n"/>
    </row>
    <row r="24">
      <c r="A24" s="34" t="n"/>
      <c r="B24" s="34" t="inlineStr">
        <is>
          <t>diesal</t>
        </is>
      </c>
      <c r="C24" s="29">
        <f>+E24/D24</f>
        <v/>
      </c>
      <c r="D24" s="79">
        <f>+VLOOKUP(B24,A$4:C$6,3,0)</f>
        <v/>
      </c>
      <c r="E24" s="29" t="n"/>
      <c r="F24" s="79" t="n"/>
      <c r="H24" s="72" t="n"/>
      <c r="I24" s="72" t="n"/>
      <c r="J24" s="72" t="n"/>
    </row>
    <row r="25">
      <c r="A25" s="34" t="n"/>
      <c r="B25" s="34" t="inlineStr">
        <is>
          <t>diesal</t>
        </is>
      </c>
      <c r="C25" s="29">
        <f>+E25/D25</f>
        <v/>
      </c>
      <c r="D25" s="79">
        <f>+VLOOKUP(B25,A$4:C$6,3,0)</f>
        <v/>
      </c>
      <c r="E25" s="29" t="n"/>
      <c r="F25" s="79" t="n"/>
      <c r="H25" s="72" t="n"/>
    </row>
    <row r="26">
      <c r="A26" s="79" t="n"/>
      <c r="B26" s="79" t="n"/>
      <c r="C26" s="29">
        <f>SUM(C15:C25)</f>
        <v/>
      </c>
      <c r="D26" s="29" t="n"/>
      <c r="E26" s="29">
        <f>SUM(E15:E25)</f>
        <v/>
      </c>
      <c r="F26" s="79" t="n"/>
    </row>
    <row r="50">
      <c r="E50" t="n">
        <v>9</v>
      </c>
    </row>
  </sheetData>
  <mergeCells count="16">
    <mergeCell ref="O2:P2"/>
    <mergeCell ref="M2:N2"/>
    <mergeCell ref="S2:T2"/>
    <mergeCell ref="Q2:R2"/>
    <mergeCell ref="A13:F13"/>
    <mergeCell ref="G2:H2"/>
    <mergeCell ref="E2:F2"/>
    <mergeCell ref="K2:L2"/>
    <mergeCell ref="I2:J2"/>
    <mergeCell ref="U2:U3"/>
    <mergeCell ref="C2:C3"/>
    <mergeCell ref="A9:C9"/>
    <mergeCell ref="B2:B3"/>
    <mergeCell ref="A2:A3"/>
    <mergeCell ref="D2:D3"/>
    <mergeCell ref="A8:B8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50"/>
  <sheetViews>
    <sheetView workbookViewId="0">
      <selection activeCell="A1" sqref="A1"/>
    </sheetView>
  </sheetViews>
  <sheetFormatPr baseColWidth="8" defaultColWidth="9.109375" defaultRowHeight="14.4"/>
  <cols>
    <col width="13.109375" customWidth="1" style="69" min="1" max="1"/>
    <col width="12" customWidth="1" style="69" min="2" max="2"/>
    <col width="12" customWidth="1" style="69" min="4" max="4"/>
    <col width="13.109375" customWidth="1" style="69" min="5" max="5"/>
    <col width="14" customWidth="1" style="69" min="6" max="6"/>
    <col width="10.109375" customWidth="1" style="69" min="7" max="7"/>
    <col width="10.6640625" customWidth="1" style="69" min="8" max="8"/>
    <col width="9.5546875" customWidth="1" style="69" min="9" max="9"/>
    <col width="10.6640625" customWidth="1" style="69" min="10" max="14"/>
    <col width="13.44140625" customWidth="1" style="69" min="15" max="15"/>
    <col width="11.88671875" customWidth="1" style="69" min="16" max="16"/>
    <col width="10.6640625" customWidth="1" style="69" min="18" max="18"/>
    <col width="9.5546875" customWidth="1" style="69" min="19" max="19"/>
    <col width="10.6640625" customWidth="1" style="69" min="20" max="20"/>
    <col width="9.6640625" customWidth="1" style="69" min="21" max="21"/>
    <col width="12.5546875" customWidth="1" style="69" min="23" max="23"/>
    <col width="12" customWidth="1" style="69" min="24" max="24"/>
  </cols>
  <sheetData>
    <row r="1" ht="18.6" customHeight="1" s="69"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</row>
    <row r="2" ht="18.6" customHeight="1" s="69">
      <c r="A2" s="47" t="inlineStr">
        <is>
          <t>Particular</t>
        </is>
      </c>
      <c r="B2" s="47" t="inlineStr">
        <is>
          <t>Qty</t>
        </is>
      </c>
      <c r="C2" s="47" t="inlineStr">
        <is>
          <t>Rate</t>
        </is>
      </c>
      <c r="D2" s="50" t="inlineStr">
        <is>
          <t>Amount</t>
        </is>
      </c>
      <c r="E2" s="56" t="inlineStr">
        <is>
          <t>Pos SBI</t>
        </is>
      </c>
      <c r="F2" s="57" t="n"/>
      <c r="G2" s="56" t="inlineStr">
        <is>
          <t>Paytm</t>
        </is>
      </c>
      <c r="H2" s="57" t="n"/>
      <c r="I2" s="56" t="inlineStr">
        <is>
          <t>HP Card</t>
        </is>
      </c>
      <c r="J2" s="57" t="n"/>
      <c r="K2" s="56" t="inlineStr">
        <is>
          <t>ICICI</t>
        </is>
      </c>
      <c r="L2" s="57" t="n"/>
      <c r="M2" s="56" t="inlineStr">
        <is>
          <t>phone pe</t>
        </is>
      </c>
      <c r="N2" s="57" t="n"/>
      <c r="O2" s="54" t="inlineStr">
        <is>
          <t>mobiquick</t>
        </is>
      </c>
      <c r="P2" s="55" t="n"/>
      <c r="Q2" s="56" t="inlineStr">
        <is>
          <t xml:space="preserve">CASH </t>
        </is>
      </c>
      <c r="R2" s="57" t="n"/>
      <c r="S2" s="56" t="inlineStr">
        <is>
          <t>Credit</t>
        </is>
      </c>
      <c r="T2" s="57" t="n"/>
      <c r="U2" s="45" t="inlineStr">
        <is>
          <t>Qty Diffrence</t>
        </is>
      </c>
      <c r="W2" s="2" t="n"/>
      <c r="X2" s="2" t="n"/>
    </row>
    <row r="3" ht="18.6" customHeight="1" s="69">
      <c r="A3" s="46" t="n"/>
      <c r="B3" s="46" t="n"/>
      <c r="C3" s="46" t="n"/>
      <c r="D3" s="51" t="n"/>
      <c r="E3" s="56" t="inlineStr">
        <is>
          <t>Qty</t>
        </is>
      </c>
      <c r="F3" s="41" t="inlineStr">
        <is>
          <t>Amount</t>
        </is>
      </c>
      <c r="G3" s="56" t="inlineStr">
        <is>
          <t>Qty</t>
        </is>
      </c>
      <c r="H3" s="41" t="inlineStr">
        <is>
          <t>Amount</t>
        </is>
      </c>
      <c r="I3" s="56" t="inlineStr">
        <is>
          <t>Qty</t>
        </is>
      </c>
      <c r="J3" s="41" t="inlineStr">
        <is>
          <t>Amount</t>
        </is>
      </c>
      <c r="K3" s="56" t="inlineStr">
        <is>
          <t>Qty</t>
        </is>
      </c>
      <c r="L3" s="41" t="inlineStr">
        <is>
          <t>Amount</t>
        </is>
      </c>
      <c r="M3" s="56" t="inlineStr">
        <is>
          <t>Qty</t>
        </is>
      </c>
      <c r="N3" s="41" t="inlineStr">
        <is>
          <t>Amount</t>
        </is>
      </c>
      <c r="O3" s="56" t="inlineStr">
        <is>
          <t>Qty</t>
        </is>
      </c>
      <c r="P3" s="41" t="inlineStr">
        <is>
          <t>Amount</t>
        </is>
      </c>
      <c r="Q3" s="56" t="inlineStr">
        <is>
          <t>Qty</t>
        </is>
      </c>
      <c r="R3" s="41" t="inlineStr">
        <is>
          <t>Amount</t>
        </is>
      </c>
      <c r="S3" s="56" t="inlineStr">
        <is>
          <t>Qty</t>
        </is>
      </c>
      <c r="T3" s="41" t="inlineStr">
        <is>
          <t>Amount</t>
        </is>
      </c>
      <c r="U3" s="46" t="n"/>
      <c r="W3" s="2" t="inlineStr">
        <is>
          <t>diesal</t>
        </is>
      </c>
      <c r="X3" s="2">
        <f>+SUMIFS(C15:C25,B15:B25,W3)</f>
        <v/>
      </c>
    </row>
    <row r="4" customFormat="1" s="2">
      <c r="A4" s="3" t="inlineStr">
        <is>
          <t>Petrol</t>
        </is>
      </c>
      <c r="B4" s="12">
        <f>+(H13+H14+H15)/$C$4</f>
        <v/>
      </c>
      <c r="C4" s="4" t="n">
        <v>104.71</v>
      </c>
      <c r="D4" s="5">
        <f>B4*C4</f>
        <v/>
      </c>
      <c r="E4" s="6" t="n">
        <v>0</v>
      </c>
      <c r="F4" s="7">
        <f>+E4*C4</f>
        <v/>
      </c>
      <c r="G4" s="9">
        <f>+(H8*60%)/$C$4</f>
        <v/>
      </c>
      <c r="H4" s="7">
        <f>+G4*C4</f>
        <v/>
      </c>
      <c r="I4" s="6">
        <f>J4/C4</f>
        <v/>
      </c>
      <c r="J4" s="7" t="n">
        <v>0</v>
      </c>
      <c r="K4" s="8">
        <f>+L8/$C$4</f>
        <v/>
      </c>
      <c r="L4" s="7">
        <f>+K4*C4</f>
        <v/>
      </c>
      <c r="M4" s="9">
        <f>+(N8*60%)/$C$4</f>
        <v/>
      </c>
      <c r="N4" s="7">
        <f>+M4*C4</f>
        <v/>
      </c>
      <c r="O4" s="9" t="n"/>
      <c r="P4" s="7">
        <f>+O4*C4</f>
        <v/>
      </c>
      <c r="Q4" s="6" t="n">
        <v>734.4093018813869</v>
      </c>
      <c r="R4" s="7">
        <f>+Q4*C4</f>
        <v/>
      </c>
      <c r="S4" s="10">
        <f>+X4</f>
        <v/>
      </c>
      <c r="T4" s="7">
        <f>+S4*C4</f>
        <v/>
      </c>
      <c r="U4" s="11">
        <f>+B4-E4-G4-Q4-S4-K4-I4-M4-O4</f>
        <v/>
      </c>
      <c r="W4" t="inlineStr">
        <is>
          <t>petrol</t>
        </is>
      </c>
      <c r="X4" s="2">
        <f>+SUMIFS(C15:C26,B15:B26,W4)</f>
        <v/>
      </c>
    </row>
    <row r="5" customFormat="1" s="2">
      <c r="A5" s="3" t="inlineStr">
        <is>
          <t>Diesal</t>
        </is>
      </c>
      <c r="B5" s="12">
        <f>+(I13+I14+I15)/$C$5</f>
        <v/>
      </c>
      <c r="C5" s="4" t="n">
        <v>90.20999999999999</v>
      </c>
      <c r="D5" s="5">
        <f>B5*C5</f>
        <v/>
      </c>
      <c r="E5" s="6" t="n">
        <v>0</v>
      </c>
      <c r="F5" s="7">
        <f>+E5*C5</f>
        <v/>
      </c>
      <c r="G5" s="6">
        <f>+(H8*40%)/$C$5</f>
        <v/>
      </c>
      <c r="H5" s="7">
        <f>+G5*C5</f>
        <v/>
      </c>
      <c r="I5" s="6">
        <f>+J8/C5</f>
        <v/>
      </c>
      <c r="J5" s="7">
        <f>+I5*C5</f>
        <v/>
      </c>
      <c r="K5" s="6" t="n">
        <v>0</v>
      </c>
      <c r="L5" s="7">
        <f>+K5*C5</f>
        <v/>
      </c>
      <c r="M5" s="6">
        <f>+(N8*40%)/$C$5</f>
        <v/>
      </c>
      <c r="N5" s="7">
        <f>+M5*C5</f>
        <v/>
      </c>
      <c r="O5" s="9">
        <f>+P8/C5</f>
        <v/>
      </c>
      <c r="P5" s="7">
        <f>+O5*C5</f>
        <v/>
      </c>
      <c r="Q5" s="6" t="n">
        <v>512.3645050437867</v>
      </c>
      <c r="R5" s="7">
        <f>+Q5*C5</f>
        <v/>
      </c>
      <c r="S5" s="10">
        <f>+X3</f>
        <v/>
      </c>
      <c r="T5" s="7">
        <f>+S5*C5</f>
        <v/>
      </c>
      <c r="U5" s="11">
        <f>+B5-E5-G5-Q5-S5-K5-I5-M5-O5</f>
        <v/>
      </c>
      <c r="W5" t="inlineStr">
        <is>
          <t>Petrol Power</t>
        </is>
      </c>
      <c r="X5" s="2">
        <f>+SUMIFS(C17:C27,B17:B27,W5)</f>
        <v/>
      </c>
    </row>
    <row r="6" customFormat="1" s="2">
      <c r="A6" s="3" t="inlineStr">
        <is>
          <t>Petrol Power</t>
        </is>
      </c>
      <c r="B6" s="12">
        <f>+(J13+J14+J15)/$C$6</f>
        <v/>
      </c>
      <c r="C6" s="4" t="n">
        <v>112.8</v>
      </c>
      <c r="D6" s="5">
        <f>B6*C6</f>
        <v/>
      </c>
      <c r="E6" s="6" t="n">
        <v>0</v>
      </c>
      <c r="F6" s="7">
        <f>+E6*C6</f>
        <v/>
      </c>
      <c r="G6" s="6" t="n"/>
      <c r="H6" s="7">
        <f>+G6*C6</f>
        <v/>
      </c>
      <c r="I6" s="6" t="n">
        <v>0</v>
      </c>
      <c r="J6" s="7">
        <f>+I6*C6</f>
        <v/>
      </c>
      <c r="K6" s="6" t="n">
        <v>0</v>
      </c>
      <c r="L6" s="7">
        <f>+K6*C6</f>
        <v/>
      </c>
      <c r="M6" s="9" t="n">
        <v>0</v>
      </c>
      <c r="N6" s="7">
        <f>+M6*C6</f>
        <v/>
      </c>
      <c r="O6" s="9" t="n"/>
      <c r="P6" s="7">
        <f>+O6*C6</f>
        <v/>
      </c>
      <c r="Q6" s="6" t="n">
        <v>93.58156028368795</v>
      </c>
      <c r="R6" s="7">
        <f>+Q6*C6</f>
        <v/>
      </c>
      <c r="S6" s="10">
        <f>+X5</f>
        <v/>
      </c>
      <c r="T6" s="7">
        <f>+S6*C6</f>
        <v/>
      </c>
      <c r="U6" s="11">
        <f>+B6-E6-G6-Q6-S6-K6-I6-M6-O6</f>
        <v/>
      </c>
    </row>
    <row r="7" customFormat="1" s="2">
      <c r="A7" s="3" t="n"/>
      <c r="B7" s="38">
        <f>SUM(B4:B6)</f>
        <v/>
      </c>
      <c r="C7" s="3" t="n"/>
      <c r="D7" s="13">
        <f>SUM(D4:D6)</f>
        <v/>
      </c>
      <c r="E7" s="14">
        <f>SUM(E4:E6)</f>
        <v/>
      </c>
      <c r="F7" s="15">
        <f>SUM(F4:F6)</f>
        <v/>
      </c>
      <c r="G7" s="14">
        <f>SUM(G4:G6)</f>
        <v/>
      </c>
      <c r="H7" s="15">
        <f>SUM(H4:H6)</f>
        <v/>
      </c>
      <c r="I7" s="14">
        <f>SUM(I4:I6)</f>
        <v/>
      </c>
      <c r="J7" s="15">
        <f>SUM(J4:J6)</f>
        <v/>
      </c>
      <c r="K7" s="14">
        <f>SUM(K4:K6)</f>
        <v/>
      </c>
      <c r="L7" s="15">
        <f>SUM(L4:L6)</f>
        <v/>
      </c>
      <c r="M7" s="14">
        <f>SUM(M4:M6)</f>
        <v/>
      </c>
      <c r="N7" s="15">
        <f>SUM(N4:N6)</f>
        <v/>
      </c>
      <c r="O7" s="14">
        <f>SUM(O4:O6)</f>
        <v/>
      </c>
      <c r="P7" s="15">
        <f>SUM(P4:P6)</f>
        <v/>
      </c>
      <c r="Q7" s="14">
        <f>SUM(Q4:Q6)</f>
        <v/>
      </c>
      <c r="R7" s="15">
        <f>SUM(R4:R6)</f>
        <v/>
      </c>
      <c r="S7" s="14">
        <f>SUM(S4:S6)</f>
        <v/>
      </c>
      <c r="T7" s="15">
        <f>SUM(T4:T6)</f>
        <v/>
      </c>
      <c r="U7" s="11">
        <f>+B7-E7-G7-Q7-S7-K7-I7-M7-O7</f>
        <v/>
      </c>
    </row>
    <row r="8" ht="15" customFormat="1" customHeight="1" s="2" thickBot="1">
      <c r="A8" s="52" t="inlineStr">
        <is>
          <t>Actual Amount</t>
        </is>
      </c>
      <c r="B8" s="53" t="n"/>
      <c r="C8" s="16" t="n"/>
      <c r="D8" s="17" t="n"/>
      <c r="E8" s="18" t="n"/>
      <c r="F8" s="19" t="n">
        <v>0</v>
      </c>
      <c r="G8" s="18" t="n"/>
      <c r="H8" s="19" t="n">
        <v>80806.09</v>
      </c>
      <c r="I8" s="18" t="n"/>
      <c r="J8" s="19" t="n">
        <v>0</v>
      </c>
      <c r="K8" s="18" t="n"/>
      <c r="L8" s="19" t="n">
        <v>18759.57</v>
      </c>
      <c r="M8" s="20" t="n"/>
      <c r="N8" s="19" t="n">
        <v>90474.63</v>
      </c>
      <c r="O8" s="20" t="inlineStr"/>
      <c r="P8" s="19" t="n">
        <v>0</v>
      </c>
      <c r="Q8" s="18" t="n">
        <v>0</v>
      </c>
      <c r="R8" s="19" t="n">
        <v>130578</v>
      </c>
      <c r="S8" s="18" t="n"/>
      <c r="T8" s="19" t="n">
        <v>38090</v>
      </c>
      <c r="U8" s="17" t="n"/>
    </row>
    <row r="9" ht="15.6" customHeight="1" s="69" thickBot="1" thickTop="1">
      <c r="A9" s="48" t="inlineStr">
        <is>
          <t>Diffrence should be zero</t>
        </is>
      </c>
      <c r="B9" s="49" t="n"/>
      <c r="C9" s="49" t="n"/>
      <c r="D9" s="21" t="n"/>
      <c r="E9" s="21" t="n"/>
      <c r="F9" s="22">
        <f>+F7-F8</f>
        <v/>
      </c>
      <c r="G9" s="21" t="n"/>
      <c r="H9" s="22">
        <f>+H7-H8</f>
        <v/>
      </c>
      <c r="I9" s="21" t="n"/>
      <c r="J9" s="22">
        <f>+J7-J8</f>
        <v/>
      </c>
      <c r="K9" s="21" t="n"/>
      <c r="L9" s="22">
        <f>+L7-L8</f>
        <v/>
      </c>
      <c r="M9" s="22" t="n"/>
      <c r="N9" s="22">
        <f>+N7-N8</f>
        <v/>
      </c>
      <c r="O9" s="22" t="n"/>
      <c r="P9" s="22">
        <f>+P7-P8</f>
        <v/>
      </c>
      <c r="Q9" s="21" t="n"/>
      <c r="R9" s="22">
        <f>+R7-R8</f>
        <v/>
      </c>
      <c r="S9" s="21" t="n"/>
      <c r="T9" s="22">
        <f>+T7-T8</f>
        <v/>
      </c>
      <c r="U9" s="23" t="n"/>
    </row>
    <row r="10" ht="15" customHeight="1" s="69" thickTop="1">
      <c r="A10" s="24" t="n"/>
      <c r="B10" s="24" t="n">
        <v>0</v>
      </c>
      <c r="C10" s="24" t="n"/>
      <c r="D10" s="2" t="n"/>
      <c r="E10" s="2" t="n"/>
      <c r="F10" s="25" t="n"/>
      <c r="G10" s="2" t="n"/>
      <c r="H10" s="25" t="n"/>
      <c r="I10" s="2" t="n"/>
      <c r="J10" s="25" t="n"/>
      <c r="K10" s="2" t="n"/>
      <c r="L10" s="6" t="n"/>
      <c r="M10" s="2" t="n"/>
      <c r="N10" s="25" t="n"/>
      <c r="O10" s="25" t="n"/>
      <c r="P10" s="25" t="n"/>
      <c r="Q10" s="25" t="n"/>
      <c r="R10" s="25" t="n"/>
      <c r="S10" s="2" t="n"/>
      <c r="T10" s="25" t="n"/>
      <c r="U10" s="2" t="n"/>
    </row>
    <row r="11">
      <c r="A11" s="26" t="inlineStr">
        <is>
          <t>sales value diff</t>
        </is>
      </c>
      <c r="D11" s="27">
        <f>+D7-F8-H8-L8-J8-R8-T8-N8-P8</f>
        <v/>
      </c>
      <c r="F11" s="72" t="n"/>
      <c r="M11" s="72" t="n"/>
    </row>
    <row r="12">
      <c r="F12" s="72" t="n"/>
      <c r="G12" s="72" t="n"/>
      <c r="H12" s="29" t="inlineStr">
        <is>
          <t>Petrol</t>
        </is>
      </c>
      <c r="I12" s="29" t="inlineStr">
        <is>
          <t>Diesal</t>
        </is>
      </c>
      <c r="J12" s="29" t="inlineStr">
        <is>
          <t>Power</t>
        </is>
      </c>
    </row>
    <row r="13">
      <c r="A13" s="58" t="inlineStr">
        <is>
          <t>CREDIT DETAIL</t>
        </is>
      </c>
      <c r="B13" s="59" t="n"/>
      <c r="C13" s="59" t="n"/>
      <c r="D13" s="59" t="n"/>
      <c r="E13" s="59" t="n"/>
      <c r="F13" s="57" t="n"/>
      <c r="H13" s="79" t="n">
        <v>88975</v>
      </c>
      <c r="I13" s="80" t="n">
        <v>61717</v>
      </c>
      <c r="J13" s="79" t="n">
        <v>10556</v>
      </c>
    </row>
    <row r="14">
      <c r="A14" s="29" t="inlineStr">
        <is>
          <t>particular</t>
        </is>
      </c>
      <c r="B14" s="29" t="inlineStr">
        <is>
          <t xml:space="preserve">Type </t>
        </is>
      </c>
      <c r="C14" s="31" t="inlineStr">
        <is>
          <t>QTY</t>
        </is>
      </c>
      <c r="D14" s="31" t="inlineStr">
        <is>
          <t>RATE</t>
        </is>
      </c>
      <c r="E14" s="31" t="inlineStr">
        <is>
          <t>AMOUNT</t>
        </is>
      </c>
      <c r="F14" s="32" t="inlineStr">
        <is>
          <t>inv no</t>
        </is>
      </c>
      <c r="H14" s="79" t="n">
        <v>109453</v>
      </c>
      <c r="I14" s="80" t="n">
        <v>50364</v>
      </c>
      <c r="J14" s="79" t="n"/>
      <c r="K14" s="74" t="n"/>
      <c r="L14" s="74" t="n"/>
      <c r="M14" s="74" t="n"/>
    </row>
    <row r="15">
      <c r="A15" s="33" t="inlineStr">
        <is>
          <t>mk Soler</t>
        </is>
      </c>
      <c r="B15" s="34" t="inlineStr">
        <is>
          <t>diesal</t>
        </is>
      </c>
      <c r="C15" s="29">
        <f>+E15/D15</f>
        <v/>
      </c>
      <c r="D15" s="79">
        <f>+VLOOKUP(B15,A$4:C$6,3,0)</f>
        <v/>
      </c>
      <c r="E15" s="81" t="n">
        <v>3581</v>
      </c>
      <c r="F15" s="34" t="n">
        <v>21302</v>
      </c>
      <c r="H15" s="80" t="n"/>
      <c r="I15" s="80" t="n">
        <v>37642</v>
      </c>
      <c r="J15" s="80" t="n"/>
      <c r="K15" s="72" t="n"/>
    </row>
    <row r="16">
      <c r="A16" s="33" t="inlineStr">
        <is>
          <t>mool Chand yadav</t>
        </is>
      </c>
      <c r="B16" s="34" t="inlineStr">
        <is>
          <t>diesal</t>
        </is>
      </c>
      <c r="C16" s="29">
        <f>+E16/D16</f>
        <v/>
      </c>
      <c r="D16" s="79">
        <f>+VLOOKUP(B16,A$4:C$6,3,0)</f>
        <v/>
      </c>
      <c r="E16" s="81" t="n">
        <v>2309.37</v>
      </c>
      <c r="F16" s="34" t="n">
        <v>21301</v>
      </c>
      <c r="H16" s="79">
        <f>+H24/C4</f>
        <v/>
      </c>
      <c r="I16" s="43">
        <f>+I24/C5</f>
        <v/>
      </c>
      <c r="J16" s="43">
        <f>+J24/C6</f>
        <v/>
      </c>
      <c r="K16" s="72" t="n"/>
      <c r="M16" s="72" t="n"/>
    </row>
    <row r="17">
      <c r="A17" s="33" t="inlineStr">
        <is>
          <t>Pramod Yadav</t>
        </is>
      </c>
      <c r="B17" s="34" t="inlineStr">
        <is>
          <t>diesal</t>
        </is>
      </c>
      <c r="C17" s="29">
        <f>+E17/D17</f>
        <v/>
      </c>
      <c r="D17" s="79">
        <f>+VLOOKUP(B17,A$4:C$6,3,0)</f>
        <v/>
      </c>
      <c r="E17" s="82" t="n">
        <v>25800.06</v>
      </c>
      <c r="F17" s="34" t="n">
        <v>21303</v>
      </c>
      <c r="H17" s="72" t="n"/>
      <c r="K17" s="72" t="n"/>
    </row>
    <row r="18">
      <c r="A18" s="33" t="inlineStr">
        <is>
          <t>dinesh</t>
        </is>
      </c>
      <c r="B18" s="34" t="inlineStr">
        <is>
          <t>diesal</t>
        </is>
      </c>
      <c r="C18" s="29">
        <f>+E18/D18</f>
        <v/>
      </c>
      <c r="D18" s="79">
        <f>+VLOOKUP(B18,A$4:C$6,3,0)</f>
        <v/>
      </c>
      <c r="E18" s="82" t="n">
        <v>3299.88</v>
      </c>
      <c r="F18" s="34" t="n">
        <v>21304</v>
      </c>
    </row>
    <row r="19">
      <c r="A19" s="33" t="n"/>
      <c r="B19" s="34" t="inlineStr">
        <is>
          <t>diesal</t>
        </is>
      </c>
      <c r="C19" s="29">
        <f>+E19/D19</f>
        <v/>
      </c>
      <c r="D19" s="79">
        <f>+VLOOKUP(B19,A$4:C$6,3,0)</f>
        <v/>
      </c>
      <c r="E19" s="82" t="n"/>
      <c r="F19" s="39" t="n"/>
      <c r="K19" s="72" t="n"/>
      <c r="M19" s="72" t="n"/>
    </row>
    <row r="20">
      <c r="A20" s="33" t="n"/>
      <c r="B20" s="34" t="inlineStr">
        <is>
          <t>diesal</t>
        </is>
      </c>
      <c r="C20" s="29">
        <f>+E20/D20</f>
        <v/>
      </c>
      <c r="D20" s="79">
        <f>+VLOOKUP(B20,A$4:C$6,3,0)</f>
        <v/>
      </c>
      <c r="E20" s="82" t="n"/>
      <c r="F20" s="79" t="n"/>
      <c r="K20" s="72" t="n"/>
    </row>
    <row r="21">
      <c r="A21" s="33" t="n"/>
      <c r="B21" s="34" t="inlineStr">
        <is>
          <t>diesal</t>
        </is>
      </c>
      <c r="C21" s="29">
        <f>+E21/D21</f>
        <v/>
      </c>
      <c r="D21" s="79">
        <f>+VLOOKUP(B21,A$4:C$6,3,0)</f>
        <v/>
      </c>
      <c r="E21" s="82" t="n"/>
      <c r="F21" s="35" t="n"/>
      <c r="H21" s="71" t="n"/>
      <c r="K21" s="72" t="n"/>
      <c r="M21" s="72" t="n"/>
    </row>
    <row r="22">
      <c r="A22" s="33" t="n"/>
      <c r="B22" s="34" t="inlineStr">
        <is>
          <t>diesal</t>
        </is>
      </c>
      <c r="C22" s="29">
        <f>+E22/D22</f>
        <v/>
      </c>
      <c r="D22" s="79">
        <f>+VLOOKUP(B22,A$4:C$6,3,0)</f>
        <v/>
      </c>
      <c r="E22" s="82" t="n"/>
      <c r="F22" s="79" t="n"/>
    </row>
    <row r="23">
      <c r="A23" s="34" t="n"/>
      <c r="B23" s="34" t="inlineStr">
        <is>
          <t>diesal</t>
        </is>
      </c>
      <c r="C23" s="29">
        <f>+E23/D23</f>
        <v/>
      </c>
      <c r="D23" s="79">
        <f>+VLOOKUP(B23,A$4:C$6,3,0)</f>
        <v/>
      </c>
      <c r="E23" s="82" t="n"/>
      <c r="F23" s="79" t="n"/>
    </row>
    <row r="24">
      <c r="A24" s="34" t="n"/>
      <c r="B24" s="34" t="inlineStr">
        <is>
          <t>diesal</t>
        </is>
      </c>
      <c r="C24" s="29">
        <f>+E24/D24</f>
        <v/>
      </c>
      <c r="D24" s="79">
        <f>+VLOOKUP(B24,A$4:C$6,3,0)</f>
        <v/>
      </c>
      <c r="E24" s="29" t="n"/>
      <c r="F24" s="79" t="n"/>
      <c r="H24" s="72" t="n"/>
      <c r="I24" s="72" t="n"/>
      <c r="J24" s="72" t="n"/>
    </row>
    <row r="25">
      <c r="A25" s="34" t="n"/>
      <c r="B25" s="34" t="inlineStr">
        <is>
          <t>diesal</t>
        </is>
      </c>
      <c r="C25" s="29">
        <f>+E25/D25</f>
        <v/>
      </c>
      <c r="D25" s="79">
        <f>+VLOOKUP(B25,A$4:C$6,3,0)</f>
        <v/>
      </c>
      <c r="E25" s="29" t="n"/>
      <c r="F25" s="79" t="n"/>
      <c r="H25" s="72" t="n"/>
    </row>
    <row r="26">
      <c r="A26" s="79" t="n"/>
      <c r="B26" s="79" t="n"/>
      <c r="C26" s="29">
        <f>SUM(C15:C25)</f>
        <v/>
      </c>
      <c r="D26" s="29" t="n"/>
      <c r="E26" s="29">
        <f>SUM(E15:E25)</f>
        <v/>
      </c>
      <c r="F26" s="79" t="n"/>
    </row>
    <row r="50">
      <c r="E50" t="n">
        <v>9</v>
      </c>
    </row>
  </sheetData>
  <mergeCells count="16">
    <mergeCell ref="O2:P2"/>
    <mergeCell ref="M2:N2"/>
    <mergeCell ref="S2:T2"/>
    <mergeCell ref="Q2:R2"/>
    <mergeCell ref="A13:F13"/>
    <mergeCell ref="G2:H2"/>
    <mergeCell ref="E2:F2"/>
    <mergeCell ref="K2:L2"/>
    <mergeCell ref="I2:J2"/>
    <mergeCell ref="U2:U3"/>
    <mergeCell ref="C2:C3"/>
    <mergeCell ref="A9:C9"/>
    <mergeCell ref="B2:B3"/>
    <mergeCell ref="A2:A3"/>
    <mergeCell ref="D2:D3"/>
    <mergeCell ref="A8:B8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X50"/>
  <sheetViews>
    <sheetView workbookViewId="0">
      <selection activeCell="A1" sqref="A1"/>
    </sheetView>
  </sheetViews>
  <sheetFormatPr baseColWidth="8" defaultColWidth="9.109375" defaultRowHeight="14.4"/>
  <cols>
    <col width="13.109375" customWidth="1" style="69" min="1" max="1"/>
    <col width="12" customWidth="1" style="69" min="2" max="2"/>
    <col width="12" customWidth="1" style="69" min="4" max="4"/>
    <col width="13.109375" customWidth="1" style="69" min="5" max="5"/>
    <col width="14" customWidth="1" style="69" min="6" max="6"/>
    <col width="10.109375" customWidth="1" style="69" min="7" max="7"/>
    <col width="10.6640625" customWidth="1" style="69" min="8" max="8"/>
    <col width="9.5546875" customWidth="1" style="69" min="9" max="9"/>
    <col width="10.6640625" customWidth="1" style="69" min="10" max="14"/>
    <col width="13.44140625" customWidth="1" style="69" min="15" max="15"/>
    <col width="11.88671875" customWidth="1" style="69" min="16" max="16"/>
    <col width="10.6640625" customWidth="1" style="69" min="18" max="18"/>
    <col width="9.5546875" customWidth="1" style="69" min="19" max="19"/>
    <col width="10.6640625" customWidth="1" style="69" min="20" max="20"/>
    <col width="9.6640625" customWidth="1" style="69" min="21" max="21"/>
    <col width="12.5546875" customWidth="1" style="69" min="23" max="23"/>
    <col width="12" customWidth="1" style="69" min="24" max="24"/>
  </cols>
  <sheetData>
    <row r="1" ht="18.6" customHeight="1" s="69"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</row>
    <row r="2" ht="18.6" customHeight="1" s="69">
      <c r="A2" s="47" t="inlineStr">
        <is>
          <t>Particular</t>
        </is>
      </c>
      <c r="B2" s="47" t="inlineStr">
        <is>
          <t>Qty</t>
        </is>
      </c>
      <c r="C2" s="47" t="inlineStr">
        <is>
          <t>Rate</t>
        </is>
      </c>
      <c r="D2" s="50" t="inlineStr">
        <is>
          <t>Amount</t>
        </is>
      </c>
      <c r="E2" s="56" t="inlineStr">
        <is>
          <t>Pos SBI</t>
        </is>
      </c>
      <c r="F2" s="57" t="n"/>
      <c r="G2" s="56" t="inlineStr">
        <is>
          <t>Paytm</t>
        </is>
      </c>
      <c r="H2" s="57" t="n"/>
      <c r="I2" s="56" t="inlineStr">
        <is>
          <t>HP Card</t>
        </is>
      </c>
      <c r="J2" s="57" t="n"/>
      <c r="K2" s="56" t="inlineStr">
        <is>
          <t>ICICI</t>
        </is>
      </c>
      <c r="L2" s="57" t="n"/>
      <c r="M2" s="56" t="inlineStr">
        <is>
          <t>phone pe</t>
        </is>
      </c>
      <c r="N2" s="57" t="n"/>
      <c r="O2" s="54" t="inlineStr">
        <is>
          <t>mobiquick</t>
        </is>
      </c>
      <c r="P2" s="55" t="n"/>
      <c r="Q2" s="56" t="inlineStr">
        <is>
          <t xml:space="preserve">CASH </t>
        </is>
      </c>
      <c r="R2" s="57" t="n"/>
      <c r="S2" s="56" t="inlineStr">
        <is>
          <t>Credit</t>
        </is>
      </c>
      <c r="T2" s="57" t="n"/>
      <c r="U2" s="45" t="inlineStr">
        <is>
          <t>Qty Diffrence</t>
        </is>
      </c>
      <c r="W2" s="2" t="n"/>
      <c r="X2" s="2" t="n"/>
    </row>
    <row r="3" ht="18.6" customHeight="1" s="69">
      <c r="A3" s="46" t="n"/>
      <c r="B3" s="46" t="n"/>
      <c r="C3" s="46" t="n"/>
      <c r="D3" s="51" t="n"/>
      <c r="E3" s="56" t="inlineStr">
        <is>
          <t>Qty</t>
        </is>
      </c>
      <c r="F3" s="41" t="inlineStr">
        <is>
          <t>Amount</t>
        </is>
      </c>
      <c r="G3" s="56" t="inlineStr">
        <is>
          <t>Qty</t>
        </is>
      </c>
      <c r="H3" s="41" t="inlineStr">
        <is>
          <t>Amount</t>
        </is>
      </c>
      <c r="I3" s="56" t="inlineStr">
        <is>
          <t>Qty</t>
        </is>
      </c>
      <c r="J3" s="41" t="inlineStr">
        <is>
          <t>Amount</t>
        </is>
      </c>
      <c r="K3" s="56" t="inlineStr">
        <is>
          <t>Qty</t>
        </is>
      </c>
      <c r="L3" s="41" t="inlineStr">
        <is>
          <t>Amount</t>
        </is>
      </c>
      <c r="M3" s="56" t="inlineStr">
        <is>
          <t>Qty</t>
        </is>
      </c>
      <c r="N3" s="41" t="inlineStr">
        <is>
          <t>Amount</t>
        </is>
      </c>
      <c r="O3" s="56" t="inlineStr">
        <is>
          <t>Qty</t>
        </is>
      </c>
      <c r="P3" s="41" t="inlineStr">
        <is>
          <t>Amount</t>
        </is>
      </c>
      <c r="Q3" s="56" t="inlineStr">
        <is>
          <t>Qty</t>
        </is>
      </c>
      <c r="R3" s="41" t="inlineStr">
        <is>
          <t>Amount</t>
        </is>
      </c>
      <c r="S3" s="56" t="inlineStr">
        <is>
          <t>Qty</t>
        </is>
      </c>
      <c r="T3" s="41" t="inlineStr">
        <is>
          <t>Amount</t>
        </is>
      </c>
      <c r="U3" s="46" t="n"/>
      <c r="W3" s="2" t="inlineStr">
        <is>
          <t>diesal</t>
        </is>
      </c>
      <c r="X3" s="2">
        <f>+SUMIFS(C15:C25,B15:B25,W3)</f>
        <v/>
      </c>
    </row>
    <row r="4" customFormat="1" s="2">
      <c r="A4" s="3" t="inlineStr">
        <is>
          <t>Petrol</t>
        </is>
      </c>
      <c r="B4" s="12">
        <f>+(H13+H14+H15)/$C$4</f>
        <v/>
      </c>
      <c r="C4" s="4" t="n">
        <v>104.71</v>
      </c>
      <c r="D4" s="5">
        <f>B4*C4</f>
        <v/>
      </c>
      <c r="E4" s="6" t="n">
        <v>0</v>
      </c>
      <c r="F4" s="7">
        <f>+E4*C4</f>
        <v/>
      </c>
      <c r="G4" s="9">
        <f>+(H8*60%)/$C$4</f>
        <v/>
      </c>
      <c r="H4" s="7">
        <f>+G4*C4</f>
        <v/>
      </c>
      <c r="I4" s="6">
        <f>J4/C4</f>
        <v/>
      </c>
      <c r="J4" s="7" t="n">
        <v>0</v>
      </c>
      <c r="K4" s="8">
        <f>+L8/$C$4</f>
        <v/>
      </c>
      <c r="L4" s="7">
        <f>+K4*C4</f>
        <v/>
      </c>
      <c r="M4" s="9">
        <f>+(N8*60%)/$C$4</f>
        <v/>
      </c>
      <c r="N4" s="7">
        <f>+M4*C4</f>
        <v/>
      </c>
      <c r="O4" s="9" t="n"/>
      <c r="P4" s="7">
        <f>+O4*C4</f>
        <v/>
      </c>
      <c r="Q4" s="6" t="n">
        <v>867.6720466049088</v>
      </c>
      <c r="R4" s="7">
        <f>+Q4*C4</f>
        <v/>
      </c>
      <c r="S4" s="10">
        <f>+X4</f>
        <v/>
      </c>
      <c r="T4" s="7">
        <f>+S4*C4</f>
        <v/>
      </c>
      <c r="U4" s="11">
        <f>+B4-E4-G4-Q4-S4-K4-I4-M4-O4</f>
        <v/>
      </c>
      <c r="W4" t="inlineStr">
        <is>
          <t>petrol</t>
        </is>
      </c>
      <c r="X4" s="2">
        <f>+SUMIFS(C15:C26,B15:B26,W4)</f>
        <v/>
      </c>
    </row>
    <row r="5" customFormat="1" s="2">
      <c r="A5" s="3" t="inlineStr">
        <is>
          <t>Diesal</t>
        </is>
      </c>
      <c r="B5" s="12">
        <f>+(I13+I14+I15)/$C$5</f>
        <v/>
      </c>
      <c r="C5" s="4" t="n">
        <v>90.20999999999999</v>
      </c>
      <c r="D5" s="5">
        <f>B5*C5</f>
        <v/>
      </c>
      <c r="E5" s="6" t="n">
        <v>0</v>
      </c>
      <c r="F5" s="7">
        <f>+E5*C5</f>
        <v/>
      </c>
      <c r="G5" s="6">
        <f>+(H8*40%)/$C$5</f>
        <v/>
      </c>
      <c r="H5" s="7">
        <f>+G5*C5</f>
        <v/>
      </c>
      <c r="I5" s="6">
        <f>+J8/C5</f>
        <v/>
      </c>
      <c r="J5" s="7">
        <f>+I5*C5</f>
        <v/>
      </c>
      <c r="K5" s="6" t="n">
        <v>0</v>
      </c>
      <c r="L5" s="7">
        <f>+K5*C5</f>
        <v/>
      </c>
      <c r="M5" s="6">
        <f>+(N8*40%)/$C$5</f>
        <v/>
      </c>
      <c r="N5" s="7">
        <f>+M5*C5</f>
        <v/>
      </c>
      <c r="O5" s="9">
        <f>+P8/C5</f>
        <v/>
      </c>
      <c r="P5" s="7">
        <f>+O5*C5</f>
        <v/>
      </c>
      <c r="Q5" s="6" t="n">
        <v>616.7778516794145</v>
      </c>
      <c r="R5" s="7">
        <f>+Q5*C5</f>
        <v/>
      </c>
      <c r="S5" s="10">
        <f>+X3</f>
        <v/>
      </c>
      <c r="T5" s="7">
        <f>+S5*C5</f>
        <v/>
      </c>
      <c r="U5" s="11">
        <f>+B5-E5-G5-Q5-S5-K5-I5-M5-O5</f>
        <v/>
      </c>
      <c r="W5" t="inlineStr">
        <is>
          <t>Petrol Power</t>
        </is>
      </c>
      <c r="X5" s="2">
        <f>+SUMIFS(C17:C27,B17:B27,W5)</f>
        <v/>
      </c>
    </row>
    <row r="6" customFormat="1" s="2">
      <c r="A6" s="3" t="inlineStr">
        <is>
          <t>Petrol Power</t>
        </is>
      </c>
      <c r="B6" s="12">
        <f>+(J13+J14+J15)/$C$6</f>
        <v/>
      </c>
      <c r="C6" s="4" t="n">
        <v>112.8</v>
      </c>
      <c r="D6" s="5">
        <f>B6*C6</f>
        <v/>
      </c>
      <c r="E6" s="6" t="n">
        <v>0</v>
      </c>
      <c r="F6" s="7">
        <f>+E6*C6</f>
        <v/>
      </c>
      <c r="G6" s="6" t="n"/>
      <c r="H6" s="7">
        <f>+G6*C6</f>
        <v/>
      </c>
      <c r="I6" s="6" t="n">
        <v>0</v>
      </c>
      <c r="J6" s="7">
        <f>+I6*C6</f>
        <v/>
      </c>
      <c r="K6" s="6" t="n">
        <v>0</v>
      </c>
      <c r="L6" s="7">
        <f>+K6*C6</f>
        <v/>
      </c>
      <c r="M6" s="9" t="n">
        <v>0</v>
      </c>
      <c r="N6" s="7">
        <f>+M6*C6</f>
        <v/>
      </c>
      <c r="O6" s="9" t="n"/>
      <c r="P6" s="7">
        <f>+O6*C6</f>
        <v/>
      </c>
      <c r="Q6" s="6" t="n">
        <v>14.66312056737589</v>
      </c>
      <c r="R6" s="7">
        <f>+Q6*C6</f>
        <v/>
      </c>
      <c r="S6" s="10">
        <f>+X5</f>
        <v/>
      </c>
      <c r="T6" s="7">
        <f>+S6*C6</f>
        <v/>
      </c>
      <c r="U6" s="11">
        <f>+B6-E6-G6-Q6-S6-K6-I6-M6-O6</f>
        <v/>
      </c>
    </row>
    <row r="7" customFormat="1" s="2">
      <c r="A7" s="3" t="n"/>
      <c r="B7" s="38">
        <f>SUM(B4:B6)</f>
        <v/>
      </c>
      <c r="C7" s="3" t="n"/>
      <c r="D7" s="13">
        <f>SUM(D4:D6)</f>
        <v/>
      </c>
      <c r="E7" s="14">
        <f>SUM(E4:E6)</f>
        <v/>
      </c>
      <c r="F7" s="15">
        <f>SUM(F4:F6)</f>
        <v/>
      </c>
      <c r="G7" s="14">
        <f>SUM(G4:G6)</f>
        <v/>
      </c>
      <c r="H7" s="15">
        <f>SUM(H4:H6)</f>
        <v/>
      </c>
      <c r="I7" s="14">
        <f>SUM(I4:I6)</f>
        <v/>
      </c>
      <c r="J7" s="15">
        <f>SUM(J4:J6)</f>
        <v/>
      </c>
      <c r="K7" s="14">
        <f>SUM(K4:K6)</f>
        <v/>
      </c>
      <c r="L7" s="15">
        <f>SUM(L4:L6)</f>
        <v/>
      </c>
      <c r="M7" s="14">
        <f>SUM(M4:M6)</f>
        <v/>
      </c>
      <c r="N7" s="15">
        <f>SUM(N4:N6)</f>
        <v/>
      </c>
      <c r="O7" s="14">
        <f>SUM(O4:O6)</f>
        <v/>
      </c>
      <c r="P7" s="15">
        <f>SUM(P4:P6)</f>
        <v/>
      </c>
      <c r="Q7" s="14">
        <f>SUM(Q4:Q6)</f>
        <v/>
      </c>
      <c r="R7" s="15">
        <f>SUM(R4:R6)</f>
        <v/>
      </c>
      <c r="S7" s="14">
        <f>SUM(S4:S6)</f>
        <v/>
      </c>
      <c r="T7" s="15">
        <f>SUM(T4:T6)</f>
        <v/>
      </c>
      <c r="U7" s="11">
        <f>+B7-E7-G7-Q7-S7-K7-I7-M7-O7</f>
        <v/>
      </c>
    </row>
    <row r="8" ht="15" customFormat="1" customHeight="1" s="2" thickBot="1">
      <c r="A8" s="52" t="inlineStr">
        <is>
          <t>Actual Amount</t>
        </is>
      </c>
      <c r="B8" s="53" t="n"/>
      <c r="C8" s="16" t="n"/>
      <c r="D8" s="17" t="n"/>
      <c r="E8" s="18" t="n"/>
      <c r="F8" s="19" t="n">
        <v>0</v>
      </c>
      <c r="G8" s="18" t="n"/>
      <c r="H8" s="19" t="n">
        <v>69340.44</v>
      </c>
      <c r="I8" s="18" t="n"/>
      <c r="J8" s="19" t="n">
        <v>13600</v>
      </c>
      <c r="K8" s="18" t="n"/>
      <c r="L8" s="19" t="n">
        <v>19935.95</v>
      </c>
      <c r="M8" s="20" t="n"/>
      <c r="N8" s="19" t="n">
        <v>97971.41</v>
      </c>
      <c r="O8" s="20" t="inlineStr"/>
      <c r="P8" s="19" t="n">
        <v>0</v>
      </c>
      <c r="Q8" s="18" t="n">
        <v>0</v>
      </c>
      <c r="R8" s="19" t="n">
        <v>148149</v>
      </c>
      <c r="S8" s="18" t="n"/>
      <c r="T8" s="19" t="n">
        <v>101202</v>
      </c>
      <c r="U8" s="17" t="n"/>
    </row>
    <row r="9" ht="15.6" customHeight="1" s="69" thickBot="1" thickTop="1">
      <c r="A9" s="48" t="inlineStr">
        <is>
          <t>Diffrence should be zero</t>
        </is>
      </c>
      <c r="B9" s="49" t="n"/>
      <c r="C9" s="49" t="n"/>
      <c r="D9" s="21" t="n"/>
      <c r="E9" s="21" t="n"/>
      <c r="F9" s="22">
        <f>+F7-F8</f>
        <v/>
      </c>
      <c r="G9" s="21" t="n"/>
      <c r="H9" s="22">
        <f>+H7-H8</f>
        <v/>
      </c>
      <c r="I9" s="21" t="n"/>
      <c r="J9" s="22">
        <f>+J7-J8</f>
        <v/>
      </c>
      <c r="K9" s="21" t="n"/>
      <c r="L9" s="22">
        <f>+L7-L8</f>
        <v/>
      </c>
      <c r="M9" s="22" t="n"/>
      <c r="N9" s="22">
        <f>+N7-N8</f>
        <v/>
      </c>
      <c r="O9" s="22" t="n"/>
      <c r="P9" s="22">
        <f>+P7-P8</f>
        <v/>
      </c>
      <c r="Q9" s="21" t="n"/>
      <c r="R9" s="22">
        <f>+R7-R8</f>
        <v/>
      </c>
      <c r="S9" s="21" t="n"/>
      <c r="T9" s="22">
        <f>+T7-T8</f>
        <v/>
      </c>
      <c r="U9" s="23" t="n"/>
    </row>
    <row r="10" ht="15" customHeight="1" s="69" thickTop="1">
      <c r="A10" s="24" t="n"/>
      <c r="B10" s="24" t="n">
        <v>0</v>
      </c>
      <c r="C10" s="24" t="n"/>
      <c r="D10" s="2" t="n"/>
      <c r="E10" s="2" t="n"/>
      <c r="F10" s="25" t="n"/>
      <c r="G10" s="2" t="n"/>
      <c r="H10" s="25" t="n"/>
      <c r="I10" s="2" t="n"/>
      <c r="J10" s="25" t="n"/>
      <c r="K10" s="2" t="n"/>
      <c r="L10" s="6" t="n"/>
      <c r="M10" s="2" t="n"/>
      <c r="N10" s="25" t="n"/>
      <c r="O10" s="25" t="n"/>
      <c r="P10" s="25" t="n"/>
      <c r="Q10" s="25" t="n"/>
      <c r="R10" s="25" t="n"/>
      <c r="S10" s="2" t="n"/>
      <c r="T10" s="25" t="n"/>
      <c r="U10" s="2" t="n"/>
    </row>
    <row r="11">
      <c r="A11" s="26" t="inlineStr">
        <is>
          <t>sales value diff</t>
        </is>
      </c>
      <c r="D11" s="27">
        <f>+D7-F8-H8-L8-J8-R8-T8-N8-P8</f>
        <v/>
      </c>
      <c r="F11" s="72" t="n"/>
      <c r="M11" s="72" t="n"/>
    </row>
    <row r="12">
      <c r="F12" s="72" t="n"/>
      <c r="G12" s="72" t="n"/>
      <c r="H12" s="29" t="inlineStr">
        <is>
          <t>Petrol</t>
        </is>
      </c>
      <c r="I12" s="29" t="inlineStr">
        <is>
          <t>Diesal</t>
        </is>
      </c>
      <c r="J12" s="29" t="inlineStr">
        <is>
          <t>Power</t>
        </is>
      </c>
    </row>
    <row r="13">
      <c r="A13" s="58" t="inlineStr">
        <is>
          <t>CREDIT DETAIL</t>
        </is>
      </c>
      <c r="B13" s="59" t="n"/>
      <c r="C13" s="59" t="n"/>
      <c r="D13" s="59" t="n"/>
      <c r="E13" s="59" t="n"/>
      <c r="F13" s="57" t="n"/>
      <c r="H13" s="79" t="n">
        <v>97176</v>
      </c>
      <c r="I13" s="80" t="n">
        <v>49693</v>
      </c>
      <c r="J13" s="79" t="n">
        <v>1654</v>
      </c>
    </row>
    <row r="14">
      <c r="A14" s="29" t="inlineStr">
        <is>
          <t>particular</t>
        </is>
      </c>
      <c r="B14" s="29" t="inlineStr">
        <is>
          <t xml:space="preserve">Type </t>
        </is>
      </c>
      <c r="C14" s="31" t="inlineStr">
        <is>
          <t>QTY</t>
        </is>
      </c>
      <c r="D14" s="31" t="inlineStr">
        <is>
          <t>RATE</t>
        </is>
      </c>
      <c r="E14" s="31" t="inlineStr">
        <is>
          <t>AMOUNT</t>
        </is>
      </c>
      <c r="F14" s="32" t="inlineStr">
        <is>
          <t>inv no</t>
        </is>
      </c>
      <c r="H14" s="79" t="n">
        <v>114001</v>
      </c>
      <c r="I14" s="80" t="n">
        <v>110796</v>
      </c>
      <c r="J14" s="79" t="n"/>
      <c r="K14" s="74" t="n"/>
      <c r="L14" s="74" t="n"/>
      <c r="M14" s="74" t="n"/>
    </row>
    <row r="15">
      <c r="A15" s="33" t="inlineStr">
        <is>
          <t>mool Chand yadav</t>
        </is>
      </c>
      <c r="B15" s="34" t="inlineStr">
        <is>
          <t>diesal</t>
        </is>
      </c>
      <c r="C15" s="29">
        <f>+E15/D15</f>
        <v/>
      </c>
      <c r="D15" s="79">
        <f>+VLOOKUP(B15,A$4:C$6,3,0)</f>
        <v/>
      </c>
      <c r="E15" s="81" t="n">
        <v>9120.23</v>
      </c>
      <c r="F15" s="34" t="n">
        <v>21308</v>
      </c>
      <c r="H15" s="80" t="n"/>
      <c r="I15" s="80" t="n">
        <v>76877</v>
      </c>
      <c r="J15" s="80" t="n"/>
      <c r="K15" s="72" t="n"/>
    </row>
    <row r="16">
      <c r="A16" s="33" t="inlineStr">
        <is>
          <t>mool Chand yadav</t>
        </is>
      </c>
      <c r="B16" s="34" t="inlineStr">
        <is>
          <t>diesal</t>
        </is>
      </c>
      <c r="C16" s="29">
        <f>+E16/D16</f>
        <v/>
      </c>
      <c r="D16" s="79">
        <f>+VLOOKUP(B16,A$4:C$6,3,0)</f>
        <v/>
      </c>
      <c r="E16" s="81" t="n">
        <v>2492.5</v>
      </c>
      <c r="F16" s="34" t="n">
        <v>21310</v>
      </c>
      <c r="H16" s="79">
        <f>+H24/C4</f>
        <v/>
      </c>
      <c r="I16" s="43">
        <f>+I24/C5</f>
        <v/>
      </c>
      <c r="J16" s="43">
        <f>+J24/C6</f>
        <v/>
      </c>
      <c r="K16" s="72" t="n"/>
      <c r="M16" s="72" t="n"/>
    </row>
    <row r="17">
      <c r="A17" s="33" t="inlineStr">
        <is>
          <t>Piploda</t>
        </is>
      </c>
      <c r="B17" s="34" t="inlineStr">
        <is>
          <t>diesal</t>
        </is>
      </c>
      <c r="C17" s="29">
        <f>+E17/D17</f>
        <v/>
      </c>
      <c r="D17" s="79">
        <f>+VLOOKUP(B17,A$4:C$6,3,0)</f>
        <v/>
      </c>
      <c r="E17" s="82" t="n">
        <v>20000</v>
      </c>
      <c r="F17" s="34" t="n">
        <v>21309</v>
      </c>
      <c r="H17" s="72" t="n"/>
      <c r="K17" s="72" t="n"/>
    </row>
    <row r="18">
      <c r="A18" s="33" t="inlineStr">
        <is>
          <t>Piploda</t>
        </is>
      </c>
      <c r="B18" s="34" t="inlineStr">
        <is>
          <t>diesal</t>
        </is>
      </c>
      <c r="C18" s="29">
        <f>+E18/D18</f>
        <v/>
      </c>
      <c r="D18" s="79">
        <f>+VLOOKUP(B18,A$4:C$6,3,0)</f>
        <v/>
      </c>
      <c r="E18" s="82" t="n">
        <v>33483.24</v>
      </c>
      <c r="F18" s="34" t="n">
        <v>21311</v>
      </c>
    </row>
    <row r="19">
      <c r="A19" s="33" t="inlineStr">
        <is>
          <t>Pramod Yadav</t>
        </is>
      </c>
      <c r="B19" s="34" t="inlineStr">
        <is>
          <t>diesal</t>
        </is>
      </c>
      <c r="C19" s="29">
        <f>+E19/D19</f>
        <v/>
      </c>
      <c r="D19" s="79">
        <f>+VLOOKUP(B19,A$4:C$6,3,0)</f>
        <v/>
      </c>
      <c r="E19" s="82" t="n">
        <v>26000.32</v>
      </c>
      <c r="F19" s="39" t="n">
        <v>21312</v>
      </c>
      <c r="K19" s="72" t="n"/>
      <c r="M19" s="72" t="n"/>
    </row>
    <row r="20">
      <c r="A20" s="33" t="inlineStr">
        <is>
          <t>dinesh</t>
        </is>
      </c>
      <c r="B20" s="34" t="inlineStr">
        <is>
          <t>diesal</t>
        </is>
      </c>
      <c r="C20" s="29">
        <f>+E20/D20</f>
        <v/>
      </c>
      <c r="D20" s="79">
        <f>+VLOOKUP(B20,A$4:C$6,3,0)</f>
        <v/>
      </c>
      <c r="E20" s="82" t="n">
        <v>3400.01</v>
      </c>
      <c r="F20" s="79" t="n">
        <v>21315</v>
      </c>
      <c r="K20" s="72" t="n"/>
    </row>
    <row r="21">
      <c r="A21" s="33" t="inlineStr">
        <is>
          <t>mool Chand yadav</t>
        </is>
      </c>
      <c r="B21" s="34" t="inlineStr">
        <is>
          <t>diesal</t>
        </is>
      </c>
      <c r="C21" s="29">
        <f>+E21/D21</f>
        <v/>
      </c>
      <c r="D21" s="79">
        <f>+VLOOKUP(B21,A$4:C$6,3,0)</f>
        <v/>
      </c>
      <c r="E21" s="82" t="n">
        <v>3250</v>
      </c>
      <c r="F21" s="35" t="n">
        <v>21314</v>
      </c>
      <c r="H21" s="71" t="n"/>
      <c r="K21" s="72" t="n"/>
      <c r="M21" s="72" t="n"/>
    </row>
    <row r="22">
      <c r="A22" s="33" t="inlineStr">
        <is>
          <t>Balaji Care and Cure</t>
        </is>
      </c>
      <c r="B22" s="34" t="inlineStr">
        <is>
          <t>diesal</t>
        </is>
      </c>
      <c r="C22" s="29">
        <f>+E22/D22</f>
        <v/>
      </c>
      <c r="D22" s="79">
        <f>+VLOOKUP(B22,A$4:C$6,3,0)</f>
        <v/>
      </c>
      <c r="E22" s="82" t="n">
        <v>3455.43</v>
      </c>
      <c r="F22" s="79" t="n">
        <v>21313</v>
      </c>
    </row>
    <row r="23">
      <c r="A23" s="34" t="n"/>
      <c r="B23" s="34" t="inlineStr">
        <is>
          <t>diesal</t>
        </is>
      </c>
      <c r="C23" s="29">
        <f>+E23/D23</f>
        <v/>
      </c>
      <c r="D23" s="79">
        <f>+VLOOKUP(B23,A$4:C$6,3,0)</f>
        <v/>
      </c>
      <c r="E23" s="82" t="n"/>
      <c r="F23" s="79" t="n"/>
    </row>
    <row r="24">
      <c r="A24" s="34" t="n"/>
      <c r="B24" s="34" t="inlineStr">
        <is>
          <t>diesal</t>
        </is>
      </c>
      <c r="C24" s="29">
        <f>+E24/D24</f>
        <v/>
      </c>
      <c r="D24" s="79">
        <f>+VLOOKUP(B24,A$4:C$6,3,0)</f>
        <v/>
      </c>
      <c r="E24" s="29" t="n"/>
      <c r="F24" s="79" t="n"/>
      <c r="H24" s="72" t="n"/>
      <c r="I24" s="72" t="n"/>
      <c r="J24" s="72" t="n"/>
    </row>
    <row r="25">
      <c r="A25" s="34" t="n"/>
      <c r="B25" s="34" t="inlineStr">
        <is>
          <t>diesal</t>
        </is>
      </c>
      <c r="C25" s="29">
        <f>+E25/D25</f>
        <v/>
      </c>
      <c r="D25" s="79">
        <f>+VLOOKUP(B25,A$4:C$6,3,0)</f>
        <v/>
      </c>
      <c r="E25" s="29" t="n"/>
      <c r="F25" s="79" t="n"/>
      <c r="H25" s="72" t="n"/>
    </row>
    <row r="26">
      <c r="A26" s="79" t="n"/>
      <c r="B26" s="79" t="n"/>
      <c r="C26" s="29">
        <f>SUM(C15:C25)</f>
        <v/>
      </c>
      <c r="D26" s="29" t="n"/>
      <c r="E26" s="29">
        <f>SUM(E15:E25)</f>
        <v/>
      </c>
      <c r="F26" s="79" t="n"/>
    </row>
    <row r="50">
      <c r="E50" t="n">
        <v>9</v>
      </c>
    </row>
  </sheetData>
  <mergeCells count="16">
    <mergeCell ref="O2:P2"/>
    <mergeCell ref="M2:N2"/>
    <mergeCell ref="S2:T2"/>
    <mergeCell ref="Q2:R2"/>
    <mergeCell ref="A13:F13"/>
    <mergeCell ref="G2:H2"/>
    <mergeCell ref="E2:F2"/>
    <mergeCell ref="K2:L2"/>
    <mergeCell ref="I2:J2"/>
    <mergeCell ref="U2:U3"/>
    <mergeCell ref="C2:C3"/>
    <mergeCell ref="A9:C9"/>
    <mergeCell ref="B2:B3"/>
    <mergeCell ref="A2:A3"/>
    <mergeCell ref="D2:D3"/>
    <mergeCell ref="A8:B8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X50"/>
  <sheetViews>
    <sheetView workbookViewId="0">
      <selection activeCell="A1" sqref="A1"/>
    </sheetView>
  </sheetViews>
  <sheetFormatPr baseColWidth="8" defaultColWidth="9.109375" defaultRowHeight="14.4"/>
  <cols>
    <col width="13.109375" customWidth="1" style="69" min="1" max="1"/>
    <col width="12" customWidth="1" style="69" min="2" max="2"/>
    <col width="12" customWidth="1" style="69" min="4" max="4"/>
    <col width="13.109375" customWidth="1" style="69" min="5" max="5"/>
    <col width="14" customWidth="1" style="69" min="6" max="6"/>
    <col width="10.109375" customWidth="1" style="69" min="7" max="7"/>
    <col width="10.6640625" customWidth="1" style="69" min="8" max="8"/>
    <col width="9.5546875" customWidth="1" style="69" min="9" max="9"/>
    <col width="10.6640625" customWidth="1" style="69" min="10" max="14"/>
    <col width="13.44140625" customWidth="1" style="69" min="15" max="15"/>
    <col width="11.88671875" customWidth="1" style="69" min="16" max="16"/>
    <col width="10.6640625" customWidth="1" style="69" min="18" max="18"/>
    <col width="9.5546875" customWidth="1" style="69" min="19" max="19"/>
    <col width="10.6640625" customWidth="1" style="69" min="20" max="20"/>
    <col width="9.6640625" customWidth="1" style="69" min="21" max="21"/>
    <col width="12.5546875" customWidth="1" style="69" min="23" max="23"/>
    <col width="12" customWidth="1" style="69" min="24" max="24"/>
  </cols>
  <sheetData>
    <row r="1" ht="18.6" customHeight="1" s="69"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</row>
    <row r="2" ht="18.6" customHeight="1" s="69">
      <c r="A2" s="47" t="inlineStr">
        <is>
          <t>Particular</t>
        </is>
      </c>
      <c r="B2" s="47" t="inlineStr">
        <is>
          <t>Qty</t>
        </is>
      </c>
      <c r="C2" s="47" t="inlineStr">
        <is>
          <t>Rate</t>
        </is>
      </c>
      <c r="D2" s="50" t="inlineStr">
        <is>
          <t>Amount</t>
        </is>
      </c>
      <c r="E2" s="56" t="inlineStr">
        <is>
          <t>Pos SBI</t>
        </is>
      </c>
      <c r="F2" s="57" t="n"/>
      <c r="G2" s="56" t="inlineStr">
        <is>
          <t>Paytm</t>
        </is>
      </c>
      <c r="H2" s="57" t="n"/>
      <c r="I2" s="56" t="inlineStr">
        <is>
          <t>HP Card</t>
        </is>
      </c>
      <c r="J2" s="57" t="n"/>
      <c r="K2" s="56" t="inlineStr">
        <is>
          <t>ICICI</t>
        </is>
      </c>
      <c r="L2" s="57" t="n"/>
      <c r="M2" s="56" t="inlineStr">
        <is>
          <t>phone pe</t>
        </is>
      </c>
      <c r="N2" s="57" t="n"/>
      <c r="O2" s="54" t="inlineStr">
        <is>
          <t>mobiquick</t>
        </is>
      </c>
      <c r="P2" s="55" t="n"/>
      <c r="Q2" s="56" t="inlineStr">
        <is>
          <t xml:space="preserve">CASH </t>
        </is>
      </c>
      <c r="R2" s="57" t="n"/>
      <c r="S2" s="56" t="inlineStr">
        <is>
          <t>Credit</t>
        </is>
      </c>
      <c r="T2" s="57" t="n"/>
      <c r="U2" s="45" t="inlineStr">
        <is>
          <t>Qty Diffrence</t>
        </is>
      </c>
      <c r="W2" s="2" t="n"/>
      <c r="X2" s="2" t="n"/>
    </row>
    <row r="3" ht="18.6" customHeight="1" s="69">
      <c r="A3" s="46" t="n"/>
      <c r="B3" s="46" t="n"/>
      <c r="C3" s="46" t="n"/>
      <c r="D3" s="51" t="n"/>
      <c r="E3" s="56" t="inlineStr">
        <is>
          <t>Qty</t>
        </is>
      </c>
      <c r="F3" s="41" t="inlineStr">
        <is>
          <t>Amount</t>
        </is>
      </c>
      <c r="G3" s="56" t="inlineStr">
        <is>
          <t>Qty</t>
        </is>
      </c>
      <c r="H3" s="41" t="inlineStr">
        <is>
          <t>Amount</t>
        </is>
      </c>
      <c r="I3" s="56" t="inlineStr">
        <is>
          <t>Qty</t>
        </is>
      </c>
      <c r="J3" s="41" t="inlineStr">
        <is>
          <t>Amount</t>
        </is>
      </c>
      <c r="K3" s="56" t="inlineStr">
        <is>
          <t>Qty</t>
        </is>
      </c>
      <c r="L3" s="41" t="inlineStr">
        <is>
          <t>Amount</t>
        </is>
      </c>
      <c r="M3" s="56" t="inlineStr">
        <is>
          <t>Qty</t>
        </is>
      </c>
      <c r="N3" s="41" t="inlineStr">
        <is>
          <t>Amount</t>
        </is>
      </c>
      <c r="O3" s="56" t="inlineStr">
        <is>
          <t>Qty</t>
        </is>
      </c>
      <c r="P3" s="41" t="inlineStr">
        <is>
          <t>Amount</t>
        </is>
      </c>
      <c r="Q3" s="56" t="inlineStr">
        <is>
          <t>Qty</t>
        </is>
      </c>
      <c r="R3" s="41" t="inlineStr">
        <is>
          <t>Amount</t>
        </is>
      </c>
      <c r="S3" s="56" t="inlineStr">
        <is>
          <t>Qty</t>
        </is>
      </c>
      <c r="T3" s="41" t="inlineStr">
        <is>
          <t>Amount</t>
        </is>
      </c>
      <c r="U3" s="46" t="n"/>
      <c r="W3" s="2" t="inlineStr">
        <is>
          <t>diesal</t>
        </is>
      </c>
      <c r="X3" s="2">
        <f>+SUMIFS(C15:C25,B15:B25,W3)</f>
        <v/>
      </c>
    </row>
    <row r="4" customFormat="1" s="2">
      <c r="A4" s="3" t="inlineStr">
        <is>
          <t>Petrol</t>
        </is>
      </c>
      <c r="B4" s="12">
        <f>+(H13+H14+H15)/$C$4</f>
        <v/>
      </c>
      <c r="C4" s="4" t="n">
        <v>104.71</v>
      </c>
      <c r="D4" s="5">
        <f>B4*C4</f>
        <v/>
      </c>
      <c r="E4" s="6" t="n">
        <v>0</v>
      </c>
      <c r="F4" s="7">
        <f>+E4*C4</f>
        <v/>
      </c>
      <c r="G4" s="9">
        <f>+(H8*60%)/$C$4</f>
        <v/>
      </c>
      <c r="H4" s="7">
        <f>+G4*C4</f>
        <v/>
      </c>
      <c r="I4" s="6">
        <f>J4/C4</f>
        <v/>
      </c>
      <c r="J4" s="7" t="n">
        <v>0</v>
      </c>
      <c r="K4" s="8">
        <f>+L8/$C$4</f>
        <v/>
      </c>
      <c r="L4" s="7">
        <f>+K4*C4</f>
        <v/>
      </c>
      <c r="M4" s="9">
        <f>+(N8*60%)/$C$4</f>
        <v/>
      </c>
      <c r="N4" s="7">
        <f>+M4*C4</f>
        <v/>
      </c>
      <c r="O4" s="9" t="n"/>
      <c r="P4" s="7">
        <f>+O4*C4</f>
        <v/>
      </c>
      <c r="Q4" s="6" t="n">
        <v>754.9961799255085</v>
      </c>
      <c r="R4" s="7">
        <f>+Q4*C4</f>
        <v/>
      </c>
      <c r="S4" s="10">
        <f>+X4</f>
        <v/>
      </c>
      <c r="T4" s="7">
        <f>+S4*C4</f>
        <v/>
      </c>
      <c r="U4" s="11">
        <f>+B4-E4-G4-Q4-S4-K4-I4-M4-O4</f>
        <v/>
      </c>
      <c r="W4" t="inlineStr">
        <is>
          <t>petrol</t>
        </is>
      </c>
      <c r="X4" s="2">
        <f>+SUMIFS(C15:C26,B15:B26,W4)</f>
        <v/>
      </c>
    </row>
    <row r="5" customFormat="1" s="2">
      <c r="A5" s="3" t="inlineStr">
        <is>
          <t>Diesal</t>
        </is>
      </c>
      <c r="B5" s="12">
        <f>+(I13+I14+I15)/$C$5</f>
        <v/>
      </c>
      <c r="C5" s="4" t="n">
        <v>90.20999999999999</v>
      </c>
      <c r="D5" s="5">
        <f>B5*C5</f>
        <v/>
      </c>
      <c r="E5" s="6" t="n">
        <v>0</v>
      </c>
      <c r="F5" s="7">
        <f>+E5*C5</f>
        <v/>
      </c>
      <c r="G5" s="6">
        <f>+(H8*40%)/$C$5</f>
        <v/>
      </c>
      <c r="H5" s="7">
        <f>+G5*C5</f>
        <v/>
      </c>
      <c r="I5" s="6">
        <f>+J8/C5</f>
        <v/>
      </c>
      <c r="J5" s="7">
        <f>+I5*C5</f>
        <v/>
      </c>
      <c r="K5" s="6" t="n">
        <v>0</v>
      </c>
      <c r="L5" s="7">
        <f>+K5*C5</f>
        <v/>
      </c>
      <c r="M5" s="6">
        <f>+(N8*40%)/$C$5</f>
        <v/>
      </c>
      <c r="N5" s="7">
        <f>+M5*C5</f>
        <v/>
      </c>
      <c r="O5" s="9">
        <f>+P8/C5</f>
        <v/>
      </c>
      <c r="P5" s="7">
        <f>+O5*C5</f>
        <v/>
      </c>
      <c r="Q5" s="6" t="n">
        <v>544.5142445405166</v>
      </c>
      <c r="R5" s="7">
        <f>+Q5*C5</f>
        <v/>
      </c>
      <c r="S5" s="10">
        <f>+X3</f>
        <v/>
      </c>
      <c r="T5" s="7">
        <f>+S5*C5</f>
        <v/>
      </c>
      <c r="U5" s="11">
        <f>+B5-E5-G5-Q5-S5-K5-I5-M5-O5</f>
        <v/>
      </c>
      <c r="W5" t="inlineStr">
        <is>
          <t>Petrol Power</t>
        </is>
      </c>
      <c r="X5" s="2">
        <f>+SUMIFS(C17:C27,B17:B27,W5)</f>
        <v/>
      </c>
    </row>
    <row r="6" customFormat="1" s="2">
      <c r="A6" s="3" t="inlineStr">
        <is>
          <t>Petrol Power</t>
        </is>
      </c>
      <c r="B6" s="12">
        <f>+(J13+J14+J15)/$C$6</f>
        <v/>
      </c>
      <c r="C6" s="4" t="n">
        <v>112.8</v>
      </c>
      <c r="D6" s="5">
        <f>B6*C6</f>
        <v/>
      </c>
      <c r="E6" s="6" t="n">
        <v>0</v>
      </c>
      <c r="F6" s="7">
        <f>+E6*C6</f>
        <v/>
      </c>
      <c r="G6" s="6" t="n"/>
      <c r="H6" s="7">
        <f>+G6*C6</f>
        <v/>
      </c>
      <c r="I6" s="6" t="n">
        <v>0</v>
      </c>
      <c r="J6" s="7">
        <f>+I6*C6</f>
        <v/>
      </c>
      <c r="K6" s="6" t="n">
        <v>0</v>
      </c>
      <c r="L6" s="7">
        <f>+K6*C6</f>
        <v/>
      </c>
      <c r="M6" s="9" t="n">
        <v>0</v>
      </c>
      <c r="N6" s="7">
        <f>+M6*C6</f>
        <v/>
      </c>
      <c r="O6" s="9" t="n"/>
      <c r="P6" s="7">
        <f>+O6*C6</f>
        <v/>
      </c>
      <c r="Q6" s="6" t="n">
        <v>86.2145390070922</v>
      </c>
      <c r="R6" s="7">
        <f>+Q6*C6</f>
        <v/>
      </c>
      <c r="S6" s="10">
        <f>+X5</f>
        <v/>
      </c>
      <c r="T6" s="7">
        <f>+S6*C6</f>
        <v/>
      </c>
      <c r="U6" s="11">
        <f>+B6-E6-G6-Q6-S6-K6-I6-M6-O6</f>
        <v/>
      </c>
    </row>
    <row r="7" customFormat="1" s="2">
      <c r="A7" s="3" t="n"/>
      <c r="B7" s="38">
        <f>SUM(B4:B6)</f>
        <v/>
      </c>
      <c r="C7" s="3" t="n"/>
      <c r="D7" s="13">
        <f>SUM(D4:D6)</f>
        <v/>
      </c>
      <c r="E7" s="14">
        <f>SUM(E4:E6)</f>
        <v/>
      </c>
      <c r="F7" s="15">
        <f>SUM(F4:F6)</f>
        <v/>
      </c>
      <c r="G7" s="14">
        <f>SUM(G4:G6)</f>
        <v/>
      </c>
      <c r="H7" s="15">
        <f>SUM(H4:H6)</f>
        <v/>
      </c>
      <c r="I7" s="14">
        <f>SUM(I4:I6)</f>
        <v/>
      </c>
      <c r="J7" s="15">
        <f>SUM(J4:J6)</f>
        <v/>
      </c>
      <c r="K7" s="14">
        <f>SUM(K4:K6)</f>
        <v/>
      </c>
      <c r="L7" s="15">
        <f>SUM(L4:L6)</f>
        <v/>
      </c>
      <c r="M7" s="14">
        <f>SUM(M4:M6)</f>
        <v/>
      </c>
      <c r="N7" s="15">
        <f>SUM(N4:N6)</f>
        <v/>
      </c>
      <c r="O7" s="14">
        <f>SUM(O4:O6)</f>
        <v/>
      </c>
      <c r="P7" s="15">
        <f>SUM(P4:P6)</f>
        <v/>
      </c>
      <c r="Q7" s="14">
        <f>SUM(Q4:Q6)</f>
        <v/>
      </c>
      <c r="R7" s="15">
        <f>SUM(R4:R6)</f>
        <v/>
      </c>
      <c r="S7" s="14">
        <f>SUM(S4:S6)</f>
        <v/>
      </c>
      <c r="T7" s="15">
        <f>SUM(T4:T6)</f>
        <v/>
      </c>
      <c r="U7" s="11">
        <f>+B7-E7-G7-Q7-S7-K7-I7-M7-O7</f>
        <v/>
      </c>
    </row>
    <row r="8" ht="15" customFormat="1" customHeight="1" s="2" thickBot="1">
      <c r="A8" s="52" t="inlineStr">
        <is>
          <t>Actual Amount</t>
        </is>
      </c>
      <c r="B8" s="53" t="n"/>
      <c r="C8" s="16" t="n"/>
      <c r="D8" s="17" t="n"/>
      <c r="E8" s="18" t="n"/>
      <c r="F8" s="19" t="n">
        <v>0</v>
      </c>
      <c r="G8" s="18" t="n"/>
      <c r="H8" s="19" t="n">
        <v>87725.8</v>
      </c>
      <c r="I8" s="18" t="n"/>
      <c r="J8" s="19" t="n">
        <v>10810</v>
      </c>
      <c r="K8" s="18" t="n"/>
      <c r="L8" s="19" t="n">
        <v>16493.94</v>
      </c>
      <c r="M8" s="20" t="n"/>
      <c r="N8" s="19" t="n">
        <v>94486.55</v>
      </c>
      <c r="O8" s="20" t="inlineStr"/>
      <c r="P8" s="19" t="n">
        <v>0</v>
      </c>
      <c r="Q8" s="18" t="n">
        <v>0</v>
      </c>
      <c r="R8" s="19" t="n">
        <v>137901</v>
      </c>
      <c r="S8" s="18" t="n"/>
      <c r="T8" s="19" t="n">
        <v>134813.43</v>
      </c>
      <c r="U8" s="17" t="n"/>
    </row>
    <row r="9" ht="15.6" customHeight="1" s="69" thickBot="1" thickTop="1">
      <c r="A9" s="48" t="inlineStr">
        <is>
          <t>Diffrence should be zero</t>
        </is>
      </c>
      <c r="B9" s="49" t="n"/>
      <c r="C9" s="49" t="n"/>
      <c r="D9" s="21" t="n"/>
      <c r="E9" s="21" t="n"/>
      <c r="F9" s="22">
        <f>+F7-F8</f>
        <v/>
      </c>
      <c r="G9" s="21" t="n"/>
      <c r="H9" s="22">
        <f>+H7-H8</f>
        <v/>
      </c>
      <c r="I9" s="21" t="n"/>
      <c r="J9" s="22">
        <f>+J7-J8</f>
        <v/>
      </c>
      <c r="K9" s="21" t="n"/>
      <c r="L9" s="22">
        <f>+L7-L8</f>
        <v/>
      </c>
      <c r="M9" s="22" t="n"/>
      <c r="N9" s="22">
        <f>+N7-N8</f>
        <v/>
      </c>
      <c r="O9" s="22" t="n"/>
      <c r="P9" s="22">
        <f>+P7-P8</f>
        <v/>
      </c>
      <c r="Q9" s="21" t="n"/>
      <c r="R9" s="22">
        <f>+R7-R8</f>
        <v/>
      </c>
      <c r="S9" s="21" t="n"/>
      <c r="T9" s="22">
        <f>+T7-T8</f>
        <v/>
      </c>
      <c r="U9" s="23" t="n"/>
    </row>
    <row r="10" ht="15" customHeight="1" s="69" thickTop="1">
      <c r="A10" s="24" t="n"/>
      <c r="B10" s="24" t="n">
        <v>0</v>
      </c>
      <c r="C10" s="24" t="n"/>
      <c r="D10" s="2" t="n"/>
      <c r="E10" s="2" t="n"/>
      <c r="F10" s="25" t="n"/>
      <c r="G10" s="2" t="n"/>
      <c r="H10" s="25" t="n"/>
      <c r="I10" s="2" t="n"/>
      <c r="J10" s="25" t="n"/>
      <c r="K10" s="2" t="n"/>
      <c r="L10" s="6" t="n"/>
      <c r="M10" s="2" t="n"/>
      <c r="N10" s="25" t="n"/>
      <c r="O10" s="25" t="n"/>
      <c r="P10" s="25" t="n"/>
      <c r="Q10" s="25" t="n"/>
      <c r="R10" s="25" t="n"/>
      <c r="S10" s="2" t="n"/>
      <c r="T10" s="25" t="n"/>
      <c r="U10" s="2" t="n"/>
    </row>
    <row r="11">
      <c r="A11" s="26" t="inlineStr">
        <is>
          <t>sales value diff</t>
        </is>
      </c>
      <c r="D11" s="27">
        <f>+D7-F8-H8-L8-J8-R8-T8-N8-P8</f>
        <v/>
      </c>
      <c r="F11" s="72" t="n"/>
      <c r="M11" s="72" t="n"/>
    </row>
    <row r="12">
      <c r="F12" s="72" t="n"/>
      <c r="G12" s="72" t="n"/>
      <c r="H12" s="29" t="inlineStr">
        <is>
          <t>Petrol</t>
        </is>
      </c>
      <c r="I12" s="29" t="inlineStr">
        <is>
          <t>Diesal</t>
        </is>
      </c>
      <c r="J12" s="29" t="inlineStr">
        <is>
          <t>Power</t>
        </is>
      </c>
    </row>
    <row r="13">
      <c r="A13" s="58" t="inlineStr">
        <is>
          <t>CREDIT DETAIL</t>
        </is>
      </c>
      <c r="B13" s="59" t="n"/>
      <c r="C13" s="59" t="n"/>
      <c r="D13" s="59" t="n"/>
      <c r="E13" s="59" t="n"/>
      <c r="F13" s="57" t="n"/>
      <c r="H13" s="79" t="n">
        <v>101551</v>
      </c>
      <c r="I13" s="80" t="n">
        <v>46094</v>
      </c>
      <c r="J13" s="79" t="n">
        <v>9725</v>
      </c>
    </row>
    <row r="14">
      <c r="A14" s="29" t="inlineStr">
        <is>
          <t>particular</t>
        </is>
      </c>
      <c r="B14" s="29" t="inlineStr">
        <is>
          <t xml:space="preserve">Type </t>
        </is>
      </c>
      <c r="C14" s="31" t="inlineStr">
        <is>
          <t>QTY</t>
        </is>
      </c>
      <c r="D14" s="31" t="inlineStr">
        <is>
          <t>RATE</t>
        </is>
      </c>
      <c r="E14" s="31" t="inlineStr">
        <is>
          <t>AMOUNT</t>
        </is>
      </c>
      <c r="F14" s="32" t="inlineStr">
        <is>
          <t>inv no</t>
        </is>
      </c>
      <c r="H14" s="79" t="n">
        <v>103326</v>
      </c>
      <c r="I14" s="80" t="n">
        <v>139641</v>
      </c>
      <c r="J14" s="79" t="n"/>
      <c r="K14" s="74" t="n"/>
      <c r="L14" s="74" t="n"/>
      <c r="M14" s="74" t="n"/>
    </row>
    <row r="15">
      <c r="A15" s="33" t="inlineStr">
        <is>
          <t>mool Chand yadav</t>
        </is>
      </c>
      <c r="B15" s="34" t="inlineStr">
        <is>
          <t>diesal</t>
        </is>
      </c>
      <c r="C15" s="29">
        <f>+E15/D15</f>
        <v/>
      </c>
      <c r="D15" s="79">
        <f>+VLOOKUP(B15,A$4:C$6,3,0)</f>
        <v/>
      </c>
      <c r="E15" s="81" t="n">
        <v>2874.99</v>
      </c>
      <c r="F15" s="34" t="n">
        <v>21316</v>
      </c>
      <c r="H15" s="80" t="n"/>
      <c r="I15" s="80" t="n">
        <v>81894</v>
      </c>
      <c r="J15" s="80" t="n"/>
      <c r="K15" s="72" t="n"/>
    </row>
    <row r="16">
      <c r="A16" s="33" t="inlineStr">
        <is>
          <t>Shyam Tran.</t>
        </is>
      </c>
      <c r="B16" s="34" t="inlineStr">
        <is>
          <t>diesal</t>
        </is>
      </c>
      <c r="C16" s="29">
        <f>+E16/D16</f>
        <v/>
      </c>
      <c r="D16" s="79">
        <f>+VLOOKUP(B16,A$4:C$6,3,0)</f>
        <v/>
      </c>
      <c r="E16" s="81" t="n">
        <v>4294.89</v>
      </c>
      <c r="F16" s="34" t="n">
        <v>21321</v>
      </c>
      <c r="H16" s="79">
        <f>+H24/C4</f>
        <v/>
      </c>
      <c r="I16" s="43">
        <f>+I24/C5</f>
        <v/>
      </c>
      <c r="J16" s="43">
        <f>+J24/C6</f>
        <v/>
      </c>
      <c r="K16" s="72" t="n"/>
      <c r="M16" s="72" t="n"/>
    </row>
    <row r="17">
      <c r="A17" s="33" t="inlineStr">
        <is>
          <t>Shyam Tran.</t>
        </is>
      </c>
      <c r="B17" s="34" t="inlineStr">
        <is>
          <t>diesal</t>
        </is>
      </c>
      <c r="C17" s="29">
        <f>+E17/D17</f>
        <v/>
      </c>
      <c r="D17" s="79">
        <f>+VLOOKUP(B17,A$4:C$6,3,0)</f>
        <v/>
      </c>
      <c r="E17" s="82" t="n">
        <v>4251.22</v>
      </c>
      <c r="F17" s="34" t="n">
        <v>21322</v>
      </c>
      <c r="H17" s="72" t="n"/>
      <c r="K17" s="72" t="n"/>
    </row>
    <row r="18">
      <c r="A18" s="33" t="inlineStr">
        <is>
          <t>Shyam Tran.</t>
        </is>
      </c>
      <c r="B18" s="34" t="inlineStr">
        <is>
          <t>diesal</t>
        </is>
      </c>
      <c r="C18" s="29">
        <f>+E18/D18</f>
        <v/>
      </c>
      <c r="D18" s="79">
        <f>+VLOOKUP(B18,A$4:C$6,3,0)</f>
        <v/>
      </c>
      <c r="E18" s="82" t="n">
        <v>1781.64</v>
      </c>
      <c r="F18" s="34" t="n">
        <v>21317</v>
      </c>
    </row>
    <row r="19">
      <c r="A19" s="33" t="inlineStr">
        <is>
          <t>mool Chand yadav</t>
        </is>
      </c>
      <c r="B19" s="34" t="inlineStr">
        <is>
          <t>diesal</t>
        </is>
      </c>
      <c r="C19" s="29">
        <f>+E19/D19</f>
        <v/>
      </c>
      <c r="D19" s="79">
        <f>+VLOOKUP(B19,A$4:C$6,3,0)</f>
        <v/>
      </c>
      <c r="E19" s="82" t="n">
        <v>6000.76</v>
      </c>
      <c r="F19" s="39" t="n">
        <v>21323</v>
      </c>
      <c r="K19" s="72" t="n"/>
      <c r="M19" s="72" t="n"/>
    </row>
    <row r="20">
      <c r="A20" s="33" t="inlineStr">
        <is>
          <t>Pramod Yadav</t>
        </is>
      </c>
      <c r="B20" s="34" t="inlineStr">
        <is>
          <t>diesal</t>
        </is>
      </c>
      <c r="C20" s="29">
        <f>+E20/D20</f>
        <v/>
      </c>
      <c r="D20" s="79">
        <f>+VLOOKUP(B20,A$4:C$6,3,0)</f>
        <v/>
      </c>
      <c r="E20" s="82" t="n">
        <v>21709.93</v>
      </c>
      <c r="F20" s="79" t="n">
        <v>21319</v>
      </c>
      <c r="K20" s="72" t="n"/>
    </row>
    <row r="21">
      <c r="A21" s="33" t="inlineStr">
        <is>
          <t>RAR Trading Enterprises Pvt Ltd</t>
        </is>
      </c>
      <c r="B21" s="34" t="inlineStr">
        <is>
          <t>diesal</t>
        </is>
      </c>
      <c r="C21" s="29">
        <f>+E21/D21</f>
        <v/>
      </c>
      <c r="D21" s="79">
        <f>+VLOOKUP(B21,A$4:C$6,3,0)</f>
        <v/>
      </c>
      <c r="E21" s="82" t="n">
        <v>93900</v>
      </c>
      <c r="F21" s="35" t="n">
        <v>21318</v>
      </c>
      <c r="H21" s="71" t="n"/>
      <c r="K21" s="72" t="n"/>
      <c r="M21" s="72" t="n"/>
    </row>
    <row r="22">
      <c r="A22" s="33" t="n"/>
      <c r="B22" s="34" t="inlineStr">
        <is>
          <t>diesal</t>
        </is>
      </c>
      <c r="C22" s="29">
        <f>+E22/D22</f>
        <v/>
      </c>
      <c r="D22" s="79">
        <f>+VLOOKUP(B22,A$4:C$6,3,0)</f>
        <v/>
      </c>
      <c r="E22" s="82" t="n"/>
      <c r="F22" s="79" t="n"/>
    </row>
    <row r="23">
      <c r="A23" s="34" t="n"/>
      <c r="B23" s="34" t="inlineStr">
        <is>
          <t>diesal</t>
        </is>
      </c>
      <c r="C23" s="29">
        <f>+E23/D23</f>
        <v/>
      </c>
      <c r="D23" s="79">
        <f>+VLOOKUP(B23,A$4:C$6,3,0)</f>
        <v/>
      </c>
      <c r="E23" s="82" t="n"/>
      <c r="F23" s="79" t="n"/>
    </row>
    <row r="24">
      <c r="A24" s="34" t="n"/>
      <c r="B24" s="34" t="inlineStr">
        <is>
          <t>diesal</t>
        </is>
      </c>
      <c r="C24" s="29">
        <f>+E24/D24</f>
        <v/>
      </c>
      <c r="D24" s="79">
        <f>+VLOOKUP(B24,A$4:C$6,3,0)</f>
        <v/>
      </c>
      <c r="E24" s="29" t="n"/>
      <c r="F24" s="79" t="n"/>
      <c r="H24" s="72" t="n"/>
      <c r="I24" s="72" t="n"/>
      <c r="J24" s="72" t="n"/>
    </row>
    <row r="25">
      <c r="A25" s="34" t="n"/>
      <c r="B25" s="34" t="inlineStr">
        <is>
          <t>diesal</t>
        </is>
      </c>
      <c r="C25" s="29">
        <f>+E25/D25</f>
        <v/>
      </c>
      <c r="D25" s="79">
        <f>+VLOOKUP(B25,A$4:C$6,3,0)</f>
        <v/>
      </c>
      <c r="E25" s="29" t="n"/>
      <c r="F25" s="79" t="n"/>
      <c r="H25" s="72" t="n"/>
    </row>
    <row r="26">
      <c r="A26" s="79" t="n"/>
      <c r="B26" s="79" t="n"/>
      <c r="C26" s="29">
        <f>SUM(C15:C25)</f>
        <v/>
      </c>
      <c r="D26" s="29" t="n"/>
      <c r="E26" s="29">
        <f>SUM(E15:E25)</f>
        <v/>
      </c>
      <c r="F26" s="79" t="n"/>
    </row>
    <row r="50">
      <c r="E50" t="n">
        <v>9</v>
      </c>
    </row>
  </sheetData>
  <mergeCells count="16">
    <mergeCell ref="O2:P2"/>
    <mergeCell ref="M2:N2"/>
    <mergeCell ref="S2:T2"/>
    <mergeCell ref="Q2:R2"/>
    <mergeCell ref="A13:F13"/>
    <mergeCell ref="G2:H2"/>
    <mergeCell ref="E2:F2"/>
    <mergeCell ref="K2:L2"/>
    <mergeCell ref="I2:J2"/>
    <mergeCell ref="U2:U3"/>
    <mergeCell ref="C2:C3"/>
    <mergeCell ref="A9:C9"/>
    <mergeCell ref="B2:B3"/>
    <mergeCell ref="A2:A3"/>
    <mergeCell ref="D2:D3"/>
    <mergeCell ref="A8:B8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X50"/>
  <sheetViews>
    <sheetView workbookViewId="0">
      <selection activeCell="A1" sqref="A1"/>
    </sheetView>
  </sheetViews>
  <sheetFormatPr baseColWidth="8" defaultColWidth="9.109375" defaultRowHeight="14.4"/>
  <cols>
    <col width="13.109375" customWidth="1" style="69" min="1" max="1"/>
    <col width="12" customWidth="1" style="69" min="2" max="2"/>
    <col width="12" customWidth="1" style="69" min="4" max="4"/>
    <col width="13.109375" customWidth="1" style="69" min="5" max="5"/>
    <col width="14" customWidth="1" style="69" min="6" max="6"/>
    <col width="10.109375" customWidth="1" style="69" min="7" max="7"/>
    <col width="10.6640625" customWidth="1" style="69" min="8" max="8"/>
    <col width="9.5546875" customWidth="1" style="69" min="9" max="9"/>
    <col width="10.6640625" customWidth="1" style="69" min="10" max="14"/>
    <col width="13.44140625" customWidth="1" style="69" min="15" max="15"/>
    <col width="11.88671875" customWidth="1" style="69" min="16" max="16"/>
    <col width="10.6640625" customWidth="1" style="69" min="18" max="18"/>
    <col width="9.5546875" customWidth="1" style="69" min="19" max="19"/>
    <col width="10.6640625" customWidth="1" style="69" min="20" max="20"/>
    <col width="9.6640625" customWidth="1" style="69" min="21" max="21"/>
    <col width="12.5546875" customWidth="1" style="69" min="23" max="23"/>
    <col width="12" customWidth="1" style="69" min="24" max="24"/>
  </cols>
  <sheetData>
    <row r="1" ht="18.6" customHeight="1" s="69"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</row>
    <row r="2" ht="18.6" customHeight="1" s="69">
      <c r="A2" s="47" t="inlineStr">
        <is>
          <t>Particular</t>
        </is>
      </c>
      <c r="B2" s="47" t="inlineStr">
        <is>
          <t>Qty</t>
        </is>
      </c>
      <c r="C2" s="47" t="inlineStr">
        <is>
          <t>Rate</t>
        </is>
      </c>
      <c r="D2" s="50" t="inlineStr">
        <is>
          <t>Amount</t>
        </is>
      </c>
      <c r="E2" s="56" t="inlineStr">
        <is>
          <t>Pos SBI</t>
        </is>
      </c>
      <c r="F2" s="57" t="n"/>
      <c r="G2" s="56" t="inlineStr">
        <is>
          <t>Paytm</t>
        </is>
      </c>
      <c r="H2" s="57" t="n"/>
      <c r="I2" s="56" t="inlineStr">
        <is>
          <t>HP Card</t>
        </is>
      </c>
      <c r="J2" s="57" t="n"/>
      <c r="K2" s="56" t="inlineStr">
        <is>
          <t>ICICI</t>
        </is>
      </c>
      <c r="L2" s="57" t="n"/>
      <c r="M2" s="56" t="inlineStr">
        <is>
          <t>phone pe</t>
        </is>
      </c>
      <c r="N2" s="57" t="n"/>
      <c r="O2" s="54" t="inlineStr">
        <is>
          <t>mobiquick</t>
        </is>
      </c>
      <c r="P2" s="55" t="n"/>
      <c r="Q2" s="56" t="inlineStr">
        <is>
          <t xml:space="preserve">CASH </t>
        </is>
      </c>
      <c r="R2" s="57" t="n"/>
      <c r="S2" s="56" t="inlineStr">
        <is>
          <t>Credit</t>
        </is>
      </c>
      <c r="T2" s="57" t="n"/>
      <c r="U2" s="45" t="inlineStr">
        <is>
          <t>Qty Diffrence</t>
        </is>
      </c>
      <c r="W2" s="2" t="n"/>
      <c r="X2" s="2" t="n"/>
    </row>
    <row r="3" ht="18.6" customHeight="1" s="69">
      <c r="A3" s="46" t="n"/>
      <c r="B3" s="46" t="n"/>
      <c r="C3" s="46" t="n"/>
      <c r="D3" s="51" t="n"/>
      <c r="E3" s="56" t="inlineStr">
        <is>
          <t>Qty</t>
        </is>
      </c>
      <c r="F3" s="41" t="inlineStr">
        <is>
          <t>Amount</t>
        </is>
      </c>
      <c r="G3" s="56" t="inlineStr">
        <is>
          <t>Qty</t>
        </is>
      </c>
      <c r="H3" s="41" t="inlineStr">
        <is>
          <t>Amount</t>
        </is>
      </c>
      <c r="I3" s="56" t="inlineStr">
        <is>
          <t>Qty</t>
        </is>
      </c>
      <c r="J3" s="41" t="inlineStr">
        <is>
          <t>Amount</t>
        </is>
      </c>
      <c r="K3" s="56" t="inlineStr">
        <is>
          <t>Qty</t>
        </is>
      </c>
      <c r="L3" s="41" t="inlineStr">
        <is>
          <t>Amount</t>
        </is>
      </c>
      <c r="M3" s="56" t="inlineStr">
        <is>
          <t>Qty</t>
        </is>
      </c>
      <c r="N3" s="41" t="inlineStr">
        <is>
          <t>Amount</t>
        </is>
      </c>
      <c r="O3" s="56" t="inlineStr">
        <is>
          <t>Qty</t>
        </is>
      </c>
      <c r="P3" s="41" t="inlineStr">
        <is>
          <t>Amount</t>
        </is>
      </c>
      <c r="Q3" s="56" t="inlineStr">
        <is>
          <t>Qty</t>
        </is>
      </c>
      <c r="R3" s="41" t="inlineStr">
        <is>
          <t>Amount</t>
        </is>
      </c>
      <c r="S3" s="56" t="inlineStr">
        <is>
          <t>Qty</t>
        </is>
      </c>
      <c r="T3" s="41" t="inlineStr">
        <is>
          <t>Amount</t>
        </is>
      </c>
      <c r="U3" s="46" t="n"/>
      <c r="W3" s="2" t="inlineStr">
        <is>
          <t>diesal</t>
        </is>
      </c>
      <c r="X3" s="2">
        <f>+SUMIFS(C15:C25,B15:B25,W3)</f>
        <v/>
      </c>
    </row>
    <row r="4" customFormat="1" s="2">
      <c r="A4" s="3" t="inlineStr">
        <is>
          <t>Petrol</t>
        </is>
      </c>
      <c r="B4" s="12">
        <f>+(H13+H14+H15)/$C$4</f>
        <v/>
      </c>
      <c r="C4" s="4" t="n">
        <v>104.71</v>
      </c>
      <c r="D4" s="5">
        <f>B4*C4</f>
        <v/>
      </c>
      <c r="E4" s="6" t="n">
        <v>0</v>
      </c>
      <c r="F4" s="7">
        <f>+E4*C4</f>
        <v/>
      </c>
      <c r="G4" s="9">
        <f>+(H8*60%)/$C$4</f>
        <v/>
      </c>
      <c r="H4" s="7">
        <f>+G4*C4</f>
        <v/>
      </c>
      <c r="I4" s="6">
        <f>J4/C4</f>
        <v/>
      </c>
      <c r="J4" s="7" t="n">
        <v>0</v>
      </c>
      <c r="K4" s="8">
        <f>+L8/$C$4</f>
        <v/>
      </c>
      <c r="L4" s="7">
        <f>+K4*C4</f>
        <v/>
      </c>
      <c r="M4" s="9">
        <f>+(N8*60%)/$C$4</f>
        <v/>
      </c>
      <c r="N4" s="7">
        <f>+M4*C4</f>
        <v/>
      </c>
      <c r="O4" s="9" t="n"/>
      <c r="P4" s="7">
        <f>+O4*C4</f>
        <v/>
      </c>
      <c r="Q4" s="6" t="n">
        <v>1133.138343997708</v>
      </c>
      <c r="R4" s="7">
        <f>+Q4*C4</f>
        <v/>
      </c>
      <c r="S4" s="10">
        <f>+X4</f>
        <v/>
      </c>
      <c r="T4" s="7">
        <f>+S4*C4</f>
        <v/>
      </c>
      <c r="U4" s="11">
        <f>+B4-E4-G4-Q4-S4-K4-I4-M4-O4</f>
        <v/>
      </c>
      <c r="W4" t="inlineStr">
        <is>
          <t>petrol</t>
        </is>
      </c>
      <c r="X4" s="2">
        <f>+SUMIFS(C15:C26,B15:B26,W4)</f>
        <v/>
      </c>
    </row>
    <row r="5" customFormat="1" s="2">
      <c r="A5" s="3" t="inlineStr">
        <is>
          <t>Diesal</t>
        </is>
      </c>
      <c r="B5" s="12">
        <f>+(I13+I14+I15)/$C$5</f>
        <v/>
      </c>
      <c r="C5" s="4" t="n">
        <v>90.20999999999999</v>
      </c>
      <c r="D5" s="5">
        <f>B5*C5</f>
        <v/>
      </c>
      <c r="E5" s="6" t="n">
        <v>0</v>
      </c>
      <c r="F5" s="7">
        <f>+E5*C5</f>
        <v/>
      </c>
      <c r="G5" s="6">
        <f>+(H8*40%)/$C$5</f>
        <v/>
      </c>
      <c r="H5" s="7">
        <f>+G5*C5</f>
        <v/>
      </c>
      <c r="I5" s="6">
        <f>+J8/C5</f>
        <v/>
      </c>
      <c r="J5" s="7">
        <f>+I5*C5</f>
        <v/>
      </c>
      <c r="K5" s="6" t="n">
        <v>0</v>
      </c>
      <c r="L5" s="7">
        <f>+K5*C5</f>
        <v/>
      </c>
      <c r="M5" s="6">
        <f>+(N8*40%)/$C$5</f>
        <v/>
      </c>
      <c r="N5" s="7">
        <f>+M5*C5</f>
        <v/>
      </c>
      <c r="O5" s="9">
        <f>+P8/C5</f>
        <v/>
      </c>
      <c r="P5" s="7">
        <f>+O5*C5</f>
        <v/>
      </c>
      <c r="Q5" s="6" t="n">
        <v>511.0837379447955</v>
      </c>
      <c r="R5" s="7">
        <f>+Q5*C5</f>
        <v/>
      </c>
      <c r="S5" s="10">
        <f>+X3</f>
        <v/>
      </c>
      <c r="T5" s="7">
        <f>+S5*C5</f>
        <v/>
      </c>
      <c r="U5" s="11">
        <f>+B5-E5-G5-Q5-S5-K5-I5-M5-O5</f>
        <v/>
      </c>
      <c r="W5" t="inlineStr">
        <is>
          <t>Petrol Power</t>
        </is>
      </c>
      <c r="X5" s="2">
        <f>+SUMIFS(C17:C27,B17:B27,W5)</f>
        <v/>
      </c>
    </row>
    <row r="6" customFormat="1" s="2">
      <c r="A6" s="3" t="inlineStr">
        <is>
          <t>Petrol Power</t>
        </is>
      </c>
      <c r="B6" s="12">
        <f>+(J13+J14+J15)/$C$6</f>
        <v/>
      </c>
      <c r="C6" s="4" t="n">
        <v>112.8</v>
      </c>
      <c r="D6" s="5">
        <f>B6*C6</f>
        <v/>
      </c>
      <c r="E6" s="6" t="n">
        <v>0</v>
      </c>
      <c r="F6" s="7">
        <f>+E6*C6</f>
        <v/>
      </c>
      <c r="G6" s="6" t="n"/>
      <c r="H6" s="7">
        <f>+G6*C6</f>
        <v/>
      </c>
      <c r="I6" s="6" t="n">
        <v>0</v>
      </c>
      <c r="J6" s="7">
        <f>+I6*C6</f>
        <v/>
      </c>
      <c r="K6" s="6" t="n">
        <v>0</v>
      </c>
      <c r="L6" s="7">
        <f>+K6*C6</f>
        <v/>
      </c>
      <c r="M6" s="9" t="n">
        <v>0</v>
      </c>
      <c r="N6" s="7">
        <f>+M6*C6</f>
        <v/>
      </c>
      <c r="O6" s="9" t="n"/>
      <c r="P6" s="7">
        <f>+O6*C6</f>
        <v/>
      </c>
      <c r="Q6" s="6" t="n">
        <v>14.62765957446809</v>
      </c>
      <c r="R6" s="7">
        <f>+Q6*C6</f>
        <v/>
      </c>
      <c r="S6" s="10">
        <f>+X5</f>
        <v/>
      </c>
      <c r="T6" s="7">
        <f>+S6*C6</f>
        <v/>
      </c>
      <c r="U6" s="11">
        <f>+B6-E6-G6-Q6-S6-K6-I6-M6-O6</f>
        <v/>
      </c>
    </row>
    <row r="7" customFormat="1" s="2">
      <c r="A7" s="3" t="n"/>
      <c r="B7" s="38">
        <f>SUM(B4:B6)</f>
        <v/>
      </c>
      <c r="C7" s="3" t="n"/>
      <c r="D7" s="13">
        <f>SUM(D4:D6)</f>
        <v/>
      </c>
      <c r="E7" s="14">
        <f>SUM(E4:E6)</f>
        <v/>
      </c>
      <c r="F7" s="15">
        <f>SUM(F4:F6)</f>
        <v/>
      </c>
      <c r="G7" s="14">
        <f>SUM(G4:G6)</f>
        <v/>
      </c>
      <c r="H7" s="15">
        <f>SUM(H4:H6)</f>
        <v/>
      </c>
      <c r="I7" s="14">
        <f>SUM(I4:I6)</f>
        <v/>
      </c>
      <c r="J7" s="15">
        <f>SUM(J4:J6)</f>
        <v/>
      </c>
      <c r="K7" s="14">
        <f>SUM(K4:K6)</f>
        <v/>
      </c>
      <c r="L7" s="15">
        <f>SUM(L4:L6)</f>
        <v/>
      </c>
      <c r="M7" s="14">
        <f>SUM(M4:M6)</f>
        <v/>
      </c>
      <c r="N7" s="15">
        <f>SUM(N4:N6)</f>
        <v/>
      </c>
      <c r="O7" s="14">
        <f>SUM(O4:O6)</f>
        <v/>
      </c>
      <c r="P7" s="15">
        <f>SUM(P4:P6)</f>
        <v/>
      </c>
      <c r="Q7" s="14">
        <f>SUM(Q4:Q6)</f>
        <v/>
      </c>
      <c r="R7" s="15">
        <f>SUM(R4:R6)</f>
        <v/>
      </c>
      <c r="S7" s="14">
        <f>SUM(S4:S6)</f>
        <v/>
      </c>
      <c r="T7" s="15">
        <f>SUM(T4:T6)</f>
        <v/>
      </c>
      <c r="U7" s="11">
        <f>+B7-E7-G7-Q7-S7-K7-I7-M7-O7</f>
        <v/>
      </c>
    </row>
    <row r="8" ht="15" customFormat="1" customHeight="1" s="2" thickBot="1">
      <c r="A8" s="52" t="inlineStr">
        <is>
          <t>Actual Amount</t>
        </is>
      </c>
      <c r="B8" s="53" t="n"/>
      <c r="C8" s="16" t="n"/>
      <c r="D8" s="17" t="n"/>
      <c r="E8" s="18" t="n"/>
      <c r="F8" s="19" t="n">
        <v>0</v>
      </c>
      <c r="G8" s="18" t="n"/>
      <c r="H8" s="19" t="n">
        <v>87163.67999999999</v>
      </c>
      <c r="I8" s="18" t="n"/>
      <c r="J8" s="19" t="n">
        <v>1677</v>
      </c>
      <c r="K8" s="18" t="n"/>
      <c r="L8" s="19" t="n">
        <v>7174.55</v>
      </c>
      <c r="M8" s="20" t="n"/>
      <c r="N8" s="19" t="n">
        <v>129292.21</v>
      </c>
      <c r="O8" s="20" t="inlineStr"/>
      <c r="P8" s="19" t="n">
        <v>0</v>
      </c>
      <c r="Q8" s="18" t="n">
        <v>0</v>
      </c>
      <c r="R8" s="19" t="n">
        <v>160705</v>
      </c>
      <c r="S8" s="18" t="n"/>
      <c r="T8" s="19" t="n">
        <v>60716.78</v>
      </c>
      <c r="U8" s="17" t="n"/>
    </row>
    <row r="9" ht="15.6" customHeight="1" s="69" thickBot="1" thickTop="1">
      <c r="A9" s="48" t="inlineStr">
        <is>
          <t>Diffrence should be zero</t>
        </is>
      </c>
      <c r="B9" s="49" t="n"/>
      <c r="C9" s="49" t="n"/>
      <c r="D9" s="21" t="n"/>
      <c r="E9" s="21" t="n"/>
      <c r="F9" s="22">
        <f>+F7-F8</f>
        <v/>
      </c>
      <c r="G9" s="21" t="n"/>
      <c r="H9" s="22">
        <f>+H7-H8</f>
        <v/>
      </c>
      <c r="I9" s="21" t="n"/>
      <c r="J9" s="22">
        <f>+J7-J8</f>
        <v/>
      </c>
      <c r="K9" s="21" t="n"/>
      <c r="L9" s="22">
        <f>+L7-L8</f>
        <v/>
      </c>
      <c r="M9" s="22" t="n"/>
      <c r="N9" s="22">
        <f>+N7-N8</f>
        <v/>
      </c>
      <c r="O9" s="22" t="n"/>
      <c r="P9" s="22">
        <f>+P7-P8</f>
        <v/>
      </c>
      <c r="Q9" s="21" t="n"/>
      <c r="R9" s="22">
        <f>+R7-R8</f>
        <v/>
      </c>
      <c r="S9" s="21" t="n"/>
      <c r="T9" s="22">
        <f>+T7-T8</f>
        <v/>
      </c>
      <c r="U9" s="23" t="n"/>
    </row>
    <row r="10" ht="15" customHeight="1" s="69" thickTop="1">
      <c r="A10" s="24" t="n"/>
      <c r="B10" s="24" t="n">
        <v>0</v>
      </c>
      <c r="C10" s="24" t="n"/>
      <c r="D10" s="2" t="n"/>
      <c r="E10" s="2" t="n"/>
      <c r="F10" s="25" t="n"/>
      <c r="G10" s="2" t="n"/>
      <c r="H10" s="25" t="n"/>
      <c r="I10" s="2" t="n"/>
      <c r="J10" s="25" t="n"/>
      <c r="K10" s="2" t="n"/>
      <c r="L10" s="6" t="n"/>
      <c r="M10" s="2" t="n"/>
      <c r="N10" s="25" t="n"/>
      <c r="O10" s="25" t="n"/>
      <c r="P10" s="25" t="n"/>
      <c r="Q10" s="25" t="n"/>
      <c r="R10" s="25" t="n"/>
      <c r="S10" s="2" t="n"/>
      <c r="T10" s="25" t="n"/>
      <c r="U10" s="2" t="n"/>
    </row>
    <row r="11">
      <c r="A11" s="26" t="inlineStr">
        <is>
          <t>sales value diff</t>
        </is>
      </c>
      <c r="D11" s="27">
        <f>+D7-F8-H8-L8-J8-R8-T8-N8-P8</f>
        <v/>
      </c>
      <c r="F11" s="72" t="n"/>
      <c r="M11" s="72" t="n"/>
    </row>
    <row r="12">
      <c r="F12" s="72" t="n"/>
      <c r="G12" s="72" t="n"/>
      <c r="H12" s="29" t="inlineStr">
        <is>
          <t>Petrol</t>
        </is>
      </c>
      <c r="I12" s="29" t="inlineStr">
        <is>
          <t>Diesal</t>
        </is>
      </c>
      <c r="J12" s="29" t="inlineStr">
        <is>
          <t>Power</t>
        </is>
      </c>
    </row>
    <row r="13">
      <c r="A13" s="58" t="inlineStr">
        <is>
          <t>CREDIT DETAIL</t>
        </is>
      </c>
      <c r="B13" s="59" t="n"/>
      <c r="C13" s="59" t="n"/>
      <c r="D13" s="59" t="n"/>
      <c r="E13" s="59" t="n"/>
      <c r="F13" s="57" t="n"/>
      <c r="H13" s="79" t="n">
        <v>98994</v>
      </c>
      <c r="I13" s="80" t="n">
        <v>58604</v>
      </c>
      <c r="J13" s="79" t="n">
        <v>1650</v>
      </c>
    </row>
    <row r="14">
      <c r="A14" s="29" t="inlineStr">
        <is>
          <t>particular</t>
        </is>
      </c>
      <c r="B14" s="29" t="inlineStr">
        <is>
          <t xml:space="preserve">Type </t>
        </is>
      </c>
      <c r="C14" s="31" t="inlineStr">
        <is>
          <t>QTY</t>
        </is>
      </c>
      <c r="D14" s="31" t="inlineStr">
        <is>
          <t>RATE</t>
        </is>
      </c>
      <c r="E14" s="31" t="inlineStr">
        <is>
          <t>AMOUNT</t>
        </is>
      </c>
      <c r="F14" s="32" t="inlineStr">
        <is>
          <t>inv no</t>
        </is>
      </c>
      <c r="H14" s="79" t="n">
        <v>156705</v>
      </c>
      <c r="I14" s="80" t="n">
        <v>59229</v>
      </c>
      <c r="J14" s="79" t="n"/>
      <c r="K14" s="74" t="n"/>
      <c r="L14" s="74" t="n"/>
      <c r="M14" s="74" t="n"/>
    </row>
    <row r="15">
      <c r="A15" s="33" t="inlineStr">
        <is>
          <t>Balaji Care and Cure</t>
        </is>
      </c>
      <c r="B15" s="34" t="inlineStr">
        <is>
          <t>diesal</t>
        </is>
      </c>
      <c r="C15" s="29">
        <f>+E15/D15</f>
        <v/>
      </c>
      <c r="D15" s="79">
        <f>+VLOOKUP(B15,A$4:C$6,3,0)</f>
        <v/>
      </c>
      <c r="E15" s="81" t="n">
        <v>4361.17</v>
      </c>
      <c r="F15" s="34" t="n">
        <v>21325</v>
      </c>
      <c r="H15" s="80" t="n"/>
      <c r="I15" s="80" t="n">
        <v>71548</v>
      </c>
      <c r="J15" s="80" t="n"/>
      <c r="K15" s="72" t="n"/>
    </row>
    <row r="16">
      <c r="A16" s="33" t="inlineStr">
        <is>
          <t>mool Chand yadav</t>
        </is>
      </c>
      <c r="B16" s="34" t="inlineStr">
        <is>
          <t>diesal</t>
        </is>
      </c>
      <c r="C16" s="29">
        <f>+E16/D16</f>
        <v/>
      </c>
      <c r="D16" s="79">
        <f>+VLOOKUP(B16,A$4:C$6,3,0)</f>
        <v/>
      </c>
      <c r="E16" s="81" t="n">
        <v>12587</v>
      </c>
      <c r="F16" s="34" t="n">
        <v>21327</v>
      </c>
      <c r="H16" s="79">
        <f>+H24/C4</f>
        <v/>
      </c>
      <c r="I16" s="43">
        <f>+I24/C5</f>
        <v/>
      </c>
      <c r="J16" s="43">
        <f>+J24/C6</f>
        <v/>
      </c>
      <c r="K16" s="72" t="n"/>
      <c r="M16" s="72" t="n"/>
    </row>
    <row r="17">
      <c r="A17" s="33" t="inlineStr">
        <is>
          <t>Pramod Yadav</t>
        </is>
      </c>
      <c r="B17" s="34" t="inlineStr">
        <is>
          <t>diesal</t>
        </is>
      </c>
      <c r="C17" s="29">
        <f>+E17/D17</f>
        <v/>
      </c>
      <c r="D17" s="79">
        <f>+VLOOKUP(B17,A$4:C$6,3,0)</f>
        <v/>
      </c>
      <c r="E17" s="82" t="n">
        <v>28002.08</v>
      </c>
      <c r="F17" s="34" t="n">
        <v>21328</v>
      </c>
      <c r="H17" s="72" t="n"/>
      <c r="K17" s="72" t="n"/>
    </row>
    <row r="18">
      <c r="A18" s="33" t="inlineStr">
        <is>
          <t>Pramod Yadav</t>
        </is>
      </c>
      <c r="B18" s="34" t="inlineStr">
        <is>
          <t>diesal</t>
        </is>
      </c>
      <c r="C18" s="29">
        <f>+E18/D18</f>
        <v/>
      </c>
      <c r="D18" s="79">
        <f>+VLOOKUP(B18,A$4:C$6,3,0)</f>
        <v/>
      </c>
      <c r="E18" s="82" t="n">
        <v>10066.53</v>
      </c>
      <c r="F18" s="34" t="n">
        <v>21326</v>
      </c>
    </row>
    <row r="19">
      <c r="A19" s="33" t="n"/>
      <c r="B19" s="34" t="inlineStr">
        <is>
          <t>diesal</t>
        </is>
      </c>
      <c r="C19" s="29">
        <f>+E19/D19</f>
        <v/>
      </c>
      <c r="D19" s="79">
        <f>+VLOOKUP(B19,A$4:C$6,3,0)</f>
        <v/>
      </c>
      <c r="E19" s="82" t="n"/>
      <c r="F19" s="39" t="n"/>
      <c r="K19" s="72" t="n"/>
      <c r="M19" s="72" t="n"/>
    </row>
    <row r="20">
      <c r="A20" s="33" t="n"/>
      <c r="B20" s="34" t="inlineStr">
        <is>
          <t>diesal</t>
        </is>
      </c>
      <c r="C20" s="29">
        <f>+E20/D20</f>
        <v/>
      </c>
      <c r="D20" s="79">
        <f>+VLOOKUP(B20,A$4:C$6,3,0)</f>
        <v/>
      </c>
      <c r="E20" s="82" t="n"/>
      <c r="F20" s="79" t="n"/>
      <c r="K20" s="72" t="n"/>
    </row>
    <row r="21">
      <c r="A21" s="33" t="n"/>
      <c r="B21" s="34" t="inlineStr">
        <is>
          <t>diesal</t>
        </is>
      </c>
      <c r="C21" s="29">
        <f>+E21/D21</f>
        <v/>
      </c>
      <c r="D21" s="79">
        <f>+VLOOKUP(B21,A$4:C$6,3,0)</f>
        <v/>
      </c>
      <c r="E21" s="82" t="n"/>
      <c r="F21" s="35" t="n"/>
      <c r="H21" s="71" t="n"/>
      <c r="K21" s="72" t="n"/>
      <c r="M21" s="72" t="n"/>
    </row>
    <row r="22">
      <c r="A22" s="33" t="n"/>
      <c r="B22" s="34" t="inlineStr">
        <is>
          <t>diesal</t>
        </is>
      </c>
      <c r="C22" s="29">
        <f>+E22/D22</f>
        <v/>
      </c>
      <c r="D22" s="79">
        <f>+VLOOKUP(B22,A$4:C$6,3,0)</f>
        <v/>
      </c>
      <c r="E22" s="82" t="n"/>
      <c r="F22" s="79" t="n"/>
    </row>
    <row r="23">
      <c r="A23" s="34" t="n"/>
      <c r="B23" s="34" t="inlineStr">
        <is>
          <t>diesal</t>
        </is>
      </c>
      <c r="C23" s="29">
        <f>+E23/D23</f>
        <v/>
      </c>
      <c r="D23" s="79">
        <f>+VLOOKUP(B23,A$4:C$6,3,0)</f>
        <v/>
      </c>
      <c r="E23" s="82" t="n"/>
      <c r="F23" s="79" t="n"/>
    </row>
    <row r="24">
      <c r="A24" s="34" t="n"/>
      <c r="B24" s="34" t="inlineStr">
        <is>
          <t>diesal</t>
        </is>
      </c>
      <c r="C24" s="29">
        <f>+E24/D24</f>
        <v/>
      </c>
      <c r="D24" s="79">
        <f>+VLOOKUP(B24,A$4:C$6,3,0)</f>
        <v/>
      </c>
      <c r="E24" s="29" t="n"/>
      <c r="F24" s="79" t="n"/>
      <c r="H24" s="72" t="n"/>
      <c r="I24" s="72" t="n"/>
      <c r="J24" s="72" t="n"/>
    </row>
    <row r="25">
      <c r="A25" s="34" t="n"/>
      <c r="B25" s="34" t="inlineStr">
        <is>
          <t>diesal</t>
        </is>
      </c>
      <c r="C25" s="29">
        <f>+E25/D25</f>
        <v/>
      </c>
      <c r="D25" s="79">
        <f>+VLOOKUP(B25,A$4:C$6,3,0)</f>
        <v/>
      </c>
      <c r="E25" s="29" t="n"/>
      <c r="F25" s="79" t="n"/>
      <c r="H25" s="72" t="n"/>
    </row>
    <row r="26">
      <c r="A26" s="79" t="n"/>
      <c r="B26" s="79" t="n"/>
      <c r="C26" s="29">
        <f>SUM(C15:C25)</f>
        <v/>
      </c>
      <c r="D26" s="29" t="n"/>
      <c r="E26" s="29">
        <f>SUM(E15:E25)</f>
        <v/>
      </c>
      <c r="F26" s="79" t="n"/>
    </row>
    <row r="50">
      <c r="E50" t="n">
        <v>9</v>
      </c>
    </row>
  </sheetData>
  <mergeCells count="16">
    <mergeCell ref="O2:P2"/>
    <mergeCell ref="M2:N2"/>
    <mergeCell ref="S2:T2"/>
    <mergeCell ref="Q2:R2"/>
    <mergeCell ref="A13:F13"/>
    <mergeCell ref="G2:H2"/>
    <mergeCell ref="E2:F2"/>
    <mergeCell ref="K2:L2"/>
    <mergeCell ref="I2:J2"/>
    <mergeCell ref="U2:U3"/>
    <mergeCell ref="C2:C3"/>
    <mergeCell ref="A9:C9"/>
    <mergeCell ref="B2:B3"/>
    <mergeCell ref="A2:A3"/>
    <mergeCell ref="D2:D3"/>
    <mergeCell ref="A8:B8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X50"/>
  <sheetViews>
    <sheetView workbookViewId="0">
      <selection activeCell="A1" sqref="A1"/>
    </sheetView>
  </sheetViews>
  <sheetFormatPr baseColWidth="8" defaultColWidth="9.109375" defaultRowHeight="14.4"/>
  <cols>
    <col width="13.109375" customWidth="1" style="69" min="1" max="1"/>
    <col width="12" customWidth="1" style="69" min="2" max="2"/>
    <col width="12" customWidth="1" style="69" min="4" max="4"/>
    <col width="13.109375" customWidth="1" style="69" min="5" max="5"/>
    <col width="14" customWidth="1" style="69" min="6" max="6"/>
    <col width="10.109375" customWidth="1" style="69" min="7" max="7"/>
    <col width="10.6640625" customWidth="1" style="69" min="8" max="8"/>
    <col width="9.5546875" customWidth="1" style="69" min="9" max="9"/>
    <col width="10.6640625" customWidth="1" style="69" min="10" max="14"/>
    <col width="13.44140625" customWidth="1" style="69" min="15" max="15"/>
    <col width="11.88671875" customWidth="1" style="69" min="16" max="16"/>
    <col width="10.6640625" customWidth="1" style="69" min="18" max="18"/>
    <col width="9.5546875" customWidth="1" style="69" min="19" max="19"/>
    <col width="10.6640625" customWidth="1" style="69" min="20" max="20"/>
    <col width="9.6640625" customWidth="1" style="69" min="21" max="21"/>
    <col width="12.5546875" customWidth="1" style="69" min="23" max="23"/>
    <col width="12" customWidth="1" style="69" min="24" max="24"/>
  </cols>
  <sheetData>
    <row r="1" ht="18.6" customHeight="1" s="69"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</row>
    <row r="2" ht="18.6" customHeight="1" s="69">
      <c r="A2" s="47" t="inlineStr">
        <is>
          <t>Particular</t>
        </is>
      </c>
      <c r="B2" s="47" t="inlineStr">
        <is>
          <t>Qty</t>
        </is>
      </c>
      <c r="C2" s="47" t="inlineStr">
        <is>
          <t>Rate</t>
        </is>
      </c>
      <c r="D2" s="50" t="inlineStr">
        <is>
          <t>Amount</t>
        </is>
      </c>
      <c r="E2" s="56" t="inlineStr">
        <is>
          <t>Pos SBI</t>
        </is>
      </c>
      <c r="F2" s="57" t="n"/>
      <c r="G2" s="56" t="inlineStr">
        <is>
          <t>Paytm</t>
        </is>
      </c>
      <c r="H2" s="57" t="n"/>
      <c r="I2" s="56" t="inlineStr">
        <is>
          <t>HP Card</t>
        </is>
      </c>
      <c r="J2" s="57" t="n"/>
      <c r="K2" s="56" t="inlineStr">
        <is>
          <t>ICICI</t>
        </is>
      </c>
      <c r="L2" s="57" t="n"/>
      <c r="M2" s="56" t="inlineStr">
        <is>
          <t>phone pe</t>
        </is>
      </c>
      <c r="N2" s="57" t="n"/>
      <c r="O2" s="54" t="inlineStr">
        <is>
          <t>mobiquick</t>
        </is>
      </c>
      <c r="P2" s="55" t="n"/>
      <c r="Q2" s="56" t="inlineStr">
        <is>
          <t xml:space="preserve">CASH </t>
        </is>
      </c>
      <c r="R2" s="57" t="n"/>
      <c r="S2" s="56" t="inlineStr">
        <is>
          <t>Credit</t>
        </is>
      </c>
      <c r="T2" s="57" t="n"/>
      <c r="U2" s="45" t="inlineStr">
        <is>
          <t>Qty Diffrence</t>
        </is>
      </c>
      <c r="W2" s="2" t="n"/>
      <c r="X2" s="2" t="n"/>
    </row>
    <row r="3" ht="18.6" customHeight="1" s="69">
      <c r="A3" s="46" t="n"/>
      <c r="B3" s="46" t="n"/>
      <c r="C3" s="46" t="n"/>
      <c r="D3" s="51" t="n"/>
      <c r="E3" s="56" t="inlineStr">
        <is>
          <t>Qty</t>
        </is>
      </c>
      <c r="F3" s="41" t="inlineStr">
        <is>
          <t>Amount</t>
        </is>
      </c>
      <c r="G3" s="56" t="inlineStr">
        <is>
          <t>Qty</t>
        </is>
      </c>
      <c r="H3" s="41" t="inlineStr">
        <is>
          <t>Amount</t>
        </is>
      </c>
      <c r="I3" s="56" t="inlineStr">
        <is>
          <t>Qty</t>
        </is>
      </c>
      <c r="J3" s="41" t="inlineStr">
        <is>
          <t>Amount</t>
        </is>
      </c>
      <c r="K3" s="56" t="inlineStr">
        <is>
          <t>Qty</t>
        </is>
      </c>
      <c r="L3" s="41" t="inlineStr">
        <is>
          <t>Amount</t>
        </is>
      </c>
      <c r="M3" s="56" t="inlineStr">
        <is>
          <t>Qty</t>
        </is>
      </c>
      <c r="N3" s="41" t="inlineStr">
        <is>
          <t>Amount</t>
        </is>
      </c>
      <c r="O3" s="56" t="inlineStr">
        <is>
          <t>Qty</t>
        </is>
      </c>
      <c r="P3" s="41" t="inlineStr">
        <is>
          <t>Amount</t>
        </is>
      </c>
      <c r="Q3" s="56" t="inlineStr">
        <is>
          <t>Qty</t>
        </is>
      </c>
      <c r="R3" s="41" t="inlineStr">
        <is>
          <t>Amount</t>
        </is>
      </c>
      <c r="S3" s="56" t="inlineStr">
        <is>
          <t>Qty</t>
        </is>
      </c>
      <c r="T3" s="41" t="inlineStr">
        <is>
          <t>Amount</t>
        </is>
      </c>
      <c r="U3" s="46" t="n"/>
      <c r="W3" s="2" t="inlineStr">
        <is>
          <t>diesal</t>
        </is>
      </c>
      <c r="X3" s="2">
        <f>+SUMIFS(C15:C25,B15:B25,W3)</f>
        <v/>
      </c>
    </row>
    <row r="4" customFormat="1" s="2">
      <c r="A4" s="3" t="inlineStr">
        <is>
          <t>Petrol</t>
        </is>
      </c>
      <c r="B4" s="12">
        <f>+(H13+H14+H15)/$C$4</f>
        <v/>
      </c>
      <c r="C4" s="4" t="n">
        <v>104.71</v>
      </c>
      <c r="D4" s="5">
        <f>B4*C4</f>
        <v/>
      </c>
      <c r="E4" s="6" t="n">
        <v>0</v>
      </c>
      <c r="F4" s="7">
        <f>+E4*C4</f>
        <v/>
      </c>
      <c r="G4" s="9">
        <f>+(H8*60%)/$C$4</f>
        <v/>
      </c>
      <c r="H4" s="7">
        <f>+G4*C4</f>
        <v/>
      </c>
      <c r="I4" s="6">
        <f>J4/C4</f>
        <v/>
      </c>
      <c r="J4" s="7" t="n">
        <v>0</v>
      </c>
      <c r="K4" s="8">
        <f>+L8/$C$4</f>
        <v/>
      </c>
      <c r="L4" s="7">
        <f>+K4*C4</f>
        <v/>
      </c>
      <c r="M4" s="9">
        <f>+(N8*60%)/$C$4</f>
        <v/>
      </c>
      <c r="N4" s="7">
        <f>+M4*C4</f>
        <v/>
      </c>
      <c r="O4" s="9" t="n"/>
      <c r="P4" s="7">
        <f>+O4*C4</f>
        <v/>
      </c>
      <c r="Q4" s="6" t="n">
        <v>591.5588768980996</v>
      </c>
      <c r="R4" s="7">
        <f>+Q4*C4</f>
        <v/>
      </c>
      <c r="S4" s="10">
        <f>+X4</f>
        <v/>
      </c>
      <c r="T4" s="7">
        <f>+S4*C4</f>
        <v/>
      </c>
      <c r="U4" s="11">
        <f>+B4-E4-G4-Q4-S4-K4-I4-M4-O4</f>
        <v/>
      </c>
      <c r="W4" t="inlineStr">
        <is>
          <t>petrol</t>
        </is>
      </c>
      <c r="X4" s="2">
        <f>+SUMIFS(C15:C26,B15:B26,W4)</f>
        <v/>
      </c>
    </row>
    <row r="5" customFormat="1" s="2">
      <c r="A5" s="3" t="inlineStr">
        <is>
          <t>Diesal</t>
        </is>
      </c>
      <c r="B5" s="12">
        <f>+(I13+I14+I15)/$C$5</f>
        <v/>
      </c>
      <c r="C5" s="4" t="n">
        <v>90.20999999999999</v>
      </c>
      <c r="D5" s="5">
        <f>B5*C5</f>
        <v/>
      </c>
      <c r="E5" s="6" t="n">
        <v>0</v>
      </c>
      <c r="F5" s="7">
        <f>+E5*C5</f>
        <v/>
      </c>
      <c r="G5" s="6">
        <f>+(H8*40%)/$C$5</f>
        <v/>
      </c>
      <c r="H5" s="7">
        <f>+G5*C5</f>
        <v/>
      </c>
      <c r="I5" s="6">
        <f>+J8/C5</f>
        <v/>
      </c>
      <c r="J5" s="7">
        <f>+I5*C5</f>
        <v/>
      </c>
      <c r="K5" s="6" t="n">
        <v>0</v>
      </c>
      <c r="L5" s="7">
        <f>+K5*C5</f>
        <v/>
      </c>
      <c r="M5" s="6">
        <f>+(N8*40%)/$C$5</f>
        <v/>
      </c>
      <c r="N5" s="7">
        <f>+M5*C5</f>
        <v/>
      </c>
      <c r="O5" s="9">
        <f>+P8/C5</f>
        <v/>
      </c>
      <c r="P5" s="7">
        <f>+O5*C5</f>
        <v/>
      </c>
      <c r="Q5" s="6" t="n">
        <v>624.6477108967964</v>
      </c>
      <c r="R5" s="7">
        <f>+Q5*C5</f>
        <v/>
      </c>
      <c r="S5" s="10">
        <f>+X3</f>
        <v/>
      </c>
      <c r="T5" s="7">
        <f>+S5*C5</f>
        <v/>
      </c>
      <c r="U5" s="11">
        <f>+B5-E5-G5-Q5-S5-K5-I5-M5-O5</f>
        <v/>
      </c>
      <c r="W5" t="inlineStr">
        <is>
          <t>Petrol Power</t>
        </is>
      </c>
      <c r="X5" s="2">
        <f>+SUMIFS(C17:C27,B17:B27,W5)</f>
        <v/>
      </c>
    </row>
    <row r="6" customFormat="1" s="2">
      <c r="A6" s="3" t="inlineStr">
        <is>
          <t>Petrol Power</t>
        </is>
      </c>
      <c r="B6" s="12">
        <f>+(J13+J14+J15)/$C$6</f>
        <v/>
      </c>
      <c r="C6" s="4" t="n">
        <v>112.8</v>
      </c>
      <c r="D6" s="5">
        <f>B6*C6</f>
        <v/>
      </c>
      <c r="E6" s="6" t="n">
        <v>0</v>
      </c>
      <c r="F6" s="7">
        <f>+E6*C6</f>
        <v/>
      </c>
      <c r="G6" s="6" t="n"/>
      <c r="H6" s="7">
        <f>+G6*C6</f>
        <v/>
      </c>
      <c r="I6" s="6" t="n">
        <v>0</v>
      </c>
      <c r="J6" s="7">
        <f>+I6*C6</f>
        <v/>
      </c>
      <c r="K6" s="6" t="n">
        <v>0</v>
      </c>
      <c r="L6" s="7">
        <f>+K6*C6</f>
        <v/>
      </c>
      <c r="M6" s="9" t="n">
        <v>0</v>
      </c>
      <c r="N6" s="7">
        <f>+M6*C6</f>
        <v/>
      </c>
      <c r="O6" s="9" t="n"/>
      <c r="P6" s="7">
        <f>+O6*C6</f>
        <v/>
      </c>
      <c r="Q6" s="6" t="n">
        <v>43.38652482269504</v>
      </c>
      <c r="R6" s="7">
        <f>+Q6*C6</f>
        <v/>
      </c>
      <c r="S6" s="10">
        <f>+X5</f>
        <v/>
      </c>
      <c r="T6" s="7">
        <f>+S6*C6</f>
        <v/>
      </c>
      <c r="U6" s="11">
        <f>+B6-E6-G6-Q6-S6-K6-I6-M6-O6</f>
        <v/>
      </c>
    </row>
    <row r="7" customFormat="1" s="2">
      <c r="A7" s="3" t="n"/>
      <c r="B7" s="38">
        <f>SUM(B4:B6)</f>
        <v/>
      </c>
      <c r="C7" s="3" t="n"/>
      <c r="D7" s="13">
        <f>SUM(D4:D6)</f>
        <v/>
      </c>
      <c r="E7" s="14">
        <f>SUM(E4:E6)</f>
        <v/>
      </c>
      <c r="F7" s="15">
        <f>SUM(F4:F6)</f>
        <v/>
      </c>
      <c r="G7" s="14">
        <f>SUM(G4:G6)</f>
        <v/>
      </c>
      <c r="H7" s="15">
        <f>SUM(H4:H6)</f>
        <v/>
      </c>
      <c r="I7" s="14">
        <f>SUM(I4:I6)</f>
        <v/>
      </c>
      <c r="J7" s="15">
        <f>SUM(J4:J6)</f>
        <v/>
      </c>
      <c r="K7" s="14">
        <f>SUM(K4:K6)</f>
        <v/>
      </c>
      <c r="L7" s="15">
        <f>SUM(L4:L6)</f>
        <v/>
      </c>
      <c r="M7" s="14">
        <f>SUM(M4:M6)</f>
        <v/>
      </c>
      <c r="N7" s="15">
        <f>SUM(N4:N6)</f>
        <v/>
      </c>
      <c r="O7" s="14">
        <f>SUM(O4:O6)</f>
        <v/>
      </c>
      <c r="P7" s="15">
        <f>SUM(P4:P6)</f>
        <v/>
      </c>
      <c r="Q7" s="14">
        <f>SUM(Q4:Q6)</f>
        <v/>
      </c>
      <c r="R7" s="15">
        <f>SUM(R4:R6)</f>
        <v/>
      </c>
      <c r="S7" s="14">
        <f>SUM(S4:S6)</f>
        <v/>
      </c>
      <c r="T7" s="15">
        <f>SUM(T4:T6)</f>
        <v/>
      </c>
      <c r="U7" s="11">
        <f>+B7-E7-G7-Q7-S7-K7-I7-M7-O7</f>
        <v/>
      </c>
    </row>
    <row r="8" ht="15" customFormat="1" customHeight="1" s="2" thickBot="1">
      <c r="A8" s="52" t="inlineStr">
        <is>
          <t>Actual Amount</t>
        </is>
      </c>
      <c r="B8" s="53" t="n"/>
      <c r="C8" s="16" t="n"/>
      <c r="D8" s="17" t="n"/>
      <c r="E8" s="18" t="n"/>
      <c r="F8" s="19" t="n">
        <v>0</v>
      </c>
      <c r="G8" s="18" t="n"/>
      <c r="H8" s="19" t="n">
        <v>94094.89999999999</v>
      </c>
      <c r="I8" s="18" t="n"/>
      <c r="J8" s="19" t="n">
        <v>0</v>
      </c>
      <c r="K8" s="18" t="n"/>
      <c r="L8" s="19" t="n">
        <v>18670.16</v>
      </c>
      <c r="M8" s="20" t="n"/>
      <c r="N8" s="19" t="n">
        <v>86662.95</v>
      </c>
      <c r="O8" s="20" t="inlineStr"/>
      <c r="P8" s="19" t="n">
        <v>0</v>
      </c>
      <c r="Q8" s="18" t="n">
        <v>0</v>
      </c>
      <c r="R8" s="19" t="n">
        <v>123185</v>
      </c>
      <c r="S8" s="18" t="n"/>
      <c r="T8" s="19" t="n">
        <v>39784.39</v>
      </c>
      <c r="U8" s="17" t="n"/>
    </row>
    <row r="9" ht="15.6" customHeight="1" s="69" thickBot="1" thickTop="1">
      <c r="A9" s="48" t="inlineStr">
        <is>
          <t>Diffrence should be zero</t>
        </is>
      </c>
      <c r="B9" s="49" t="n"/>
      <c r="C9" s="49" t="n"/>
      <c r="D9" s="21" t="n"/>
      <c r="E9" s="21" t="n"/>
      <c r="F9" s="22">
        <f>+F7-F8</f>
        <v/>
      </c>
      <c r="G9" s="21" t="n"/>
      <c r="H9" s="22">
        <f>+H7-H8</f>
        <v/>
      </c>
      <c r="I9" s="21" t="n"/>
      <c r="J9" s="22">
        <f>+J7-J8</f>
        <v/>
      </c>
      <c r="K9" s="21" t="n"/>
      <c r="L9" s="22">
        <f>+L7-L8</f>
        <v/>
      </c>
      <c r="M9" s="22" t="n"/>
      <c r="N9" s="22">
        <f>+N7-N8</f>
        <v/>
      </c>
      <c r="O9" s="22" t="n"/>
      <c r="P9" s="22">
        <f>+P7-P8</f>
        <v/>
      </c>
      <c r="Q9" s="21" t="n"/>
      <c r="R9" s="22">
        <f>+R7-R8</f>
        <v/>
      </c>
      <c r="S9" s="21" t="n"/>
      <c r="T9" s="22">
        <f>+T7-T8</f>
        <v/>
      </c>
      <c r="U9" s="23" t="n"/>
    </row>
    <row r="10" ht="15" customHeight="1" s="69" thickTop="1">
      <c r="A10" s="24" t="n"/>
      <c r="B10" s="24" t="n">
        <v>0</v>
      </c>
      <c r="C10" s="24" t="n"/>
      <c r="D10" s="2" t="n"/>
      <c r="E10" s="2" t="n"/>
      <c r="F10" s="25" t="n"/>
      <c r="G10" s="2" t="n"/>
      <c r="H10" s="25" t="n"/>
      <c r="I10" s="2" t="n"/>
      <c r="J10" s="25" t="n"/>
      <c r="K10" s="2" t="n"/>
      <c r="L10" s="6" t="n"/>
      <c r="M10" s="2" t="n"/>
      <c r="N10" s="25" t="n"/>
      <c r="O10" s="25" t="n"/>
      <c r="P10" s="25" t="n"/>
      <c r="Q10" s="25" t="n"/>
      <c r="R10" s="25" t="n"/>
      <c r="S10" s="2" t="n"/>
      <c r="T10" s="25" t="n"/>
      <c r="U10" s="2" t="n"/>
    </row>
    <row r="11">
      <c r="A11" s="26" t="inlineStr">
        <is>
          <t>sales value diff</t>
        </is>
      </c>
      <c r="D11" s="27">
        <f>+D7-F8-H8-L8-J8-R8-T8-N8-P8</f>
        <v/>
      </c>
      <c r="F11" s="72" t="n"/>
      <c r="M11" s="72" t="n"/>
    </row>
    <row r="12">
      <c r="F12" s="72" t="n"/>
      <c r="G12" s="72" t="n"/>
      <c r="H12" s="29" t="inlineStr">
        <is>
          <t>Petrol</t>
        </is>
      </c>
      <c r="I12" s="29" t="inlineStr">
        <is>
          <t>Diesal</t>
        </is>
      </c>
      <c r="J12" s="29" t="inlineStr">
        <is>
          <t>Power</t>
        </is>
      </c>
    </row>
    <row r="13">
      <c r="A13" s="58" t="inlineStr">
        <is>
          <t>CREDIT DETAIL</t>
        </is>
      </c>
      <c r="B13" s="59" t="n"/>
      <c r="C13" s="59" t="n"/>
      <c r="D13" s="59" t="n"/>
      <c r="E13" s="59" t="n"/>
      <c r="F13" s="57" t="n"/>
      <c r="H13" s="79" t="n">
        <v>81566</v>
      </c>
      <c r="I13" s="80" t="n">
        <v>50362</v>
      </c>
      <c r="J13" s="79" t="n">
        <v>4894</v>
      </c>
    </row>
    <row r="14">
      <c r="A14" s="29" t="inlineStr">
        <is>
          <t>particular</t>
        </is>
      </c>
      <c r="B14" s="29" t="inlineStr">
        <is>
          <t xml:space="preserve">Type </t>
        </is>
      </c>
      <c r="C14" s="31" t="inlineStr">
        <is>
          <t>QTY</t>
        </is>
      </c>
      <c r="D14" s="31" t="inlineStr">
        <is>
          <t>RATE</t>
        </is>
      </c>
      <c r="E14" s="31" t="inlineStr">
        <is>
          <t>AMOUNT</t>
        </is>
      </c>
      <c r="F14" s="32" t="inlineStr">
        <is>
          <t>inv no</t>
        </is>
      </c>
      <c r="H14" s="79" t="n">
        <v>107501</v>
      </c>
      <c r="I14" s="80" t="n">
        <v>43949</v>
      </c>
      <c r="J14" s="79" t="n"/>
      <c r="K14" s="74" t="n"/>
      <c r="L14" s="74" t="n"/>
      <c r="M14" s="74" t="n"/>
    </row>
    <row r="15">
      <c r="A15" s="33" t="inlineStr">
        <is>
          <t>Pramod Yadav</t>
        </is>
      </c>
      <c r="B15" s="34" t="inlineStr">
        <is>
          <t>diesal</t>
        </is>
      </c>
      <c r="C15" s="29">
        <f>+E15/D15</f>
        <v/>
      </c>
      <c r="D15" s="79">
        <f>+VLOOKUP(B15,A$4:C$6,3,0)</f>
        <v/>
      </c>
      <c r="E15" s="81" t="n">
        <v>21065.83</v>
      </c>
      <c r="F15" s="34" t="n">
        <v>21331</v>
      </c>
      <c r="H15" s="80" t="n"/>
      <c r="I15" s="80" t="n">
        <v>74126</v>
      </c>
      <c r="J15" s="80" t="n"/>
      <c r="K15" s="72" t="n"/>
    </row>
    <row r="16">
      <c r="A16" s="33" t="inlineStr">
        <is>
          <t>vandana School</t>
        </is>
      </c>
      <c r="B16" s="34" t="inlineStr">
        <is>
          <t>diesal</t>
        </is>
      </c>
      <c r="C16" s="29">
        <f>+E16/D16</f>
        <v/>
      </c>
      <c r="D16" s="79">
        <f>+VLOOKUP(B16,A$4:C$6,3,0)</f>
        <v/>
      </c>
      <c r="E16" s="81" t="n">
        <v>12151.28</v>
      </c>
      <c r="F16" s="34" t="n">
        <v>21332</v>
      </c>
      <c r="H16" s="79">
        <f>+H24/C4</f>
        <v/>
      </c>
      <c r="I16" s="43">
        <f>+I24/C5</f>
        <v/>
      </c>
      <c r="J16" s="43">
        <f>+J24/C6</f>
        <v/>
      </c>
      <c r="K16" s="72" t="n"/>
      <c r="M16" s="72" t="n"/>
    </row>
    <row r="17">
      <c r="A17" s="33" t="inlineStr">
        <is>
          <t>Shyam Tran.</t>
        </is>
      </c>
      <c r="B17" s="34" t="inlineStr">
        <is>
          <t>diesal</t>
        </is>
      </c>
      <c r="C17" s="29">
        <f>+E17/D17</f>
        <v/>
      </c>
      <c r="D17" s="79">
        <f>+VLOOKUP(B17,A$4:C$6,3,0)</f>
        <v/>
      </c>
      <c r="E17" s="82" t="n">
        <v>4442.84</v>
      </c>
      <c r="F17" s="34" t="n">
        <v>21330</v>
      </c>
      <c r="H17" s="72" t="n"/>
      <c r="K17" s="72" t="n"/>
    </row>
    <row r="18">
      <c r="A18" s="33" t="inlineStr">
        <is>
          <t>Shyam Tran.</t>
        </is>
      </c>
      <c r="B18" s="34" t="inlineStr">
        <is>
          <t>diesal</t>
        </is>
      </c>
      <c r="C18" s="29">
        <f>+E18/D18</f>
        <v/>
      </c>
      <c r="D18" s="79">
        <f>+VLOOKUP(B18,A$4:C$6,3,0)</f>
        <v/>
      </c>
      <c r="E18" s="82" t="n">
        <v>2124.44</v>
      </c>
      <c r="F18" s="34" t="n">
        <v>21334</v>
      </c>
    </row>
    <row r="19">
      <c r="A19" s="33" t="n"/>
      <c r="B19" s="34" t="inlineStr">
        <is>
          <t>diesal</t>
        </is>
      </c>
      <c r="C19" s="29">
        <f>+E19/D19</f>
        <v/>
      </c>
      <c r="D19" s="79">
        <f>+VLOOKUP(B19,A$4:C$6,3,0)</f>
        <v/>
      </c>
      <c r="E19" s="82" t="n"/>
      <c r="F19" s="39" t="n"/>
      <c r="K19" s="72" t="n"/>
      <c r="M19" s="72" t="n"/>
    </row>
    <row r="20">
      <c r="A20" s="33" t="n"/>
      <c r="B20" s="34" t="inlineStr">
        <is>
          <t>diesal</t>
        </is>
      </c>
      <c r="C20" s="29">
        <f>+E20/D20</f>
        <v/>
      </c>
      <c r="D20" s="79">
        <f>+VLOOKUP(B20,A$4:C$6,3,0)</f>
        <v/>
      </c>
      <c r="E20" s="82" t="n"/>
      <c r="F20" s="79" t="n"/>
      <c r="K20" s="72" t="n"/>
    </row>
    <row r="21">
      <c r="A21" s="33" t="n"/>
      <c r="B21" s="34" t="inlineStr">
        <is>
          <t>diesal</t>
        </is>
      </c>
      <c r="C21" s="29">
        <f>+E21/D21</f>
        <v/>
      </c>
      <c r="D21" s="79">
        <f>+VLOOKUP(B21,A$4:C$6,3,0)</f>
        <v/>
      </c>
      <c r="E21" s="82" t="n"/>
      <c r="F21" s="35" t="n"/>
      <c r="H21" s="71" t="n"/>
      <c r="K21" s="72" t="n"/>
      <c r="M21" s="72" t="n"/>
    </row>
    <row r="22">
      <c r="A22" s="33" t="n"/>
      <c r="B22" s="34" t="inlineStr">
        <is>
          <t>diesal</t>
        </is>
      </c>
      <c r="C22" s="29">
        <f>+E22/D22</f>
        <v/>
      </c>
      <c r="D22" s="79">
        <f>+VLOOKUP(B22,A$4:C$6,3,0)</f>
        <v/>
      </c>
      <c r="E22" s="82" t="n"/>
      <c r="F22" s="79" t="n"/>
    </row>
    <row r="23">
      <c r="A23" s="34" t="n"/>
      <c r="B23" s="34" t="inlineStr">
        <is>
          <t>diesal</t>
        </is>
      </c>
      <c r="C23" s="29">
        <f>+E23/D23</f>
        <v/>
      </c>
      <c r="D23" s="79">
        <f>+VLOOKUP(B23,A$4:C$6,3,0)</f>
        <v/>
      </c>
      <c r="E23" s="82" t="n"/>
      <c r="F23" s="79" t="n"/>
    </row>
    <row r="24">
      <c r="A24" s="34" t="n"/>
      <c r="B24" s="34" t="inlineStr">
        <is>
          <t>diesal</t>
        </is>
      </c>
      <c r="C24" s="29">
        <f>+E24/D24</f>
        <v/>
      </c>
      <c r="D24" s="79">
        <f>+VLOOKUP(B24,A$4:C$6,3,0)</f>
        <v/>
      </c>
      <c r="E24" s="29" t="n"/>
      <c r="F24" s="79" t="n"/>
      <c r="H24" s="72" t="n"/>
      <c r="I24" s="72" t="n"/>
      <c r="J24" s="72" t="n"/>
    </row>
    <row r="25">
      <c r="A25" s="34" t="n"/>
      <c r="B25" s="34" t="inlineStr">
        <is>
          <t>diesal</t>
        </is>
      </c>
      <c r="C25" s="29">
        <f>+E25/D25</f>
        <v/>
      </c>
      <c r="D25" s="79">
        <f>+VLOOKUP(B25,A$4:C$6,3,0)</f>
        <v/>
      </c>
      <c r="E25" s="29" t="n"/>
      <c r="F25" s="79" t="n"/>
      <c r="H25" s="72" t="n"/>
    </row>
    <row r="26">
      <c r="A26" s="79" t="n"/>
      <c r="B26" s="79" t="n"/>
      <c r="C26" s="29">
        <f>SUM(C15:C25)</f>
        <v/>
      </c>
      <c r="D26" s="29" t="n"/>
      <c r="E26" s="29">
        <f>SUM(E15:E25)</f>
        <v/>
      </c>
      <c r="F26" s="79" t="n"/>
    </row>
    <row r="50">
      <c r="E50" t="n">
        <v>9</v>
      </c>
    </row>
  </sheetData>
  <mergeCells count="16">
    <mergeCell ref="O2:P2"/>
    <mergeCell ref="M2:N2"/>
    <mergeCell ref="S2:T2"/>
    <mergeCell ref="Q2:R2"/>
    <mergeCell ref="A13:F13"/>
    <mergeCell ref="G2:H2"/>
    <mergeCell ref="E2:F2"/>
    <mergeCell ref="K2:L2"/>
    <mergeCell ref="I2:J2"/>
    <mergeCell ref="U2:U3"/>
    <mergeCell ref="C2:C3"/>
    <mergeCell ref="A9:C9"/>
    <mergeCell ref="B2:B3"/>
    <mergeCell ref="A2:A3"/>
    <mergeCell ref="D2:D3"/>
    <mergeCell ref="A8:B8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X50"/>
  <sheetViews>
    <sheetView workbookViewId="0">
      <selection activeCell="A1" sqref="A1"/>
    </sheetView>
  </sheetViews>
  <sheetFormatPr baseColWidth="8" defaultColWidth="9.109375" defaultRowHeight="14.4"/>
  <cols>
    <col width="13.109375" customWidth="1" style="69" min="1" max="1"/>
    <col width="12" customWidth="1" style="69" min="2" max="2"/>
    <col width="12" customWidth="1" style="69" min="4" max="4"/>
    <col width="13.109375" customWidth="1" style="69" min="5" max="5"/>
    <col width="14" customWidth="1" style="69" min="6" max="6"/>
    <col width="10.109375" customWidth="1" style="69" min="7" max="7"/>
    <col width="10.6640625" customWidth="1" style="69" min="8" max="8"/>
    <col width="9.5546875" customWidth="1" style="69" min="9" max="9"/>
    <col width="10.6640625" customWidth="1" style="69" min="10" max="14"/>
    <col width="13.44140625" customWidth="1" style="69" min="15" max="15"/>
    <col width="11.88671875" customWidth="1" style="69" min="16" max="16"/>
    <col width="10.6640625" customWidth="1" style="69" min="18" max="18"/>
    <col width="9.5546875" customWidth="1" style="69" min="19" max="19"/>
    <col width="10.6640625" customWidth="1" style="69" min="20" max="20"/>
    <col width="9.6640625" customWidth="1" style="69" min="21" max="21"/>
    <col width="12.5546875" customWidth="1" style="69" min="23" max="23"/>
    <col width="12" customWidth="1" style="69" min="24" max="24"/>
  </cols>
  <sheetData>
    <row r="1" ht="18.6" customHeight="1" s="69"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</row>
    <row r="2" ht="18.6" customHeight="1" s="69">
      <c r="A2" s="47" t="inlineStr">
        <is>
          <t>Particular</t>
        </is>
      </c>
      <c r="B2" s="47" t="inlineStr">
        <is>
          <t>Qty</t>
        </is>
      </c>
      <c r="C2" s="47" t="inlineStr">
        <is>
          <t>Rate</t>
        </is>
      </c>
      <c r="D2" s="50" t="inlineStr">
        <is>
          <t>Amount</t>
        </is>
      </c>
      <c r="E2" s="56" t="inlineStr">
        <is>
          <t>Pos SBI</t>
        </is>
      </c>
      <c r="F2" s="57" t="n"/>
      <c r="G2" s="56" t="inlineStr">
        <is>
          <t>Paytm</t>
        </is>
      </c>
      <c r="H2" s="57" t="n"/>
      <c r="I2" s="56" t="inlineStr">
        <is>
          <t>HP Card</t>
        </is>
      </c>
      <c r="J2" s="57" t="n"/>
      <c r="K2" s="56" t="inlineStr">
        <is>
          <t>ICICI</t>
        </is>
      </c>
      <c r="L2" s="57" t="n"/>
      <c r="M2" s="56" t="inlineStr">
        <is>
          <t>phone pe</t>
        </is>
      </c>
      <c r="N2" s="57" t="n"/>
      <c r="O2" s="54" t="inlineStr">
        <is>
          <t>mobiquick</t>
        </is>
      </c>
      <c r="P2" s="55" t="n"/>
      <c r="Q2" s="56" t="inlineStr">
        <is>
          <t xml:space="preserve">CASH </t>
        </is>
      </c>
      <c r="R2" s="57" t="n"/>
      <c r="S2" s="56" t="inlineStr">
        <is>
          <t>Credit</t>
        </is>
      </c>
      <c r="T2" s="57" t="n"/>
      <c r="U2" s="45" t="inlineStr">
        <is>
          <t>Qty Diffrence</t>
        </is>
      </c>
      <c r="W2" s="2" t="n"/>
      <c r="X2" s="2" t="n"/>
    </row>
    <row r="3" ht="18.6" customHeight="1" s="69">
      <c r="A3" s="46" t="n"/>
      <c r="B3" s="46" t="n"/>
      <c r="C3" s="46" t="n"/>
      <c r="D3" s="51" t="n"/>
      <c r="E3" s="56" t="inlineStr">
        <is>
          <t>Qty</t>
        </is>
      </c>
      <c r="F3" s="41" t="inlineStr">
        <is>
          <t>Amount</t>
        </is>
      </c>
      <c r="G3" s="56" t="inlineStr">
        <is>
          <t>Qty</t>
        </is>
      </c>
      <c r="H3" s="41" t="inlineStr">
        <is>
          <t>Amount</t>
        </is>
      </c>
      <c r="I3" s="56" t="inlineStr">
        <is>
          <t>Qty</t>
        </is>
      </c>
      <c r="J3" s="41" t="inlineStr">
        <is>
          <t>Amount</t>
        </is>
      </c>
      <c r="K3" s="56" t="inlineStr">
        <is>
          <t>Qty</t>
        </is>
      </c>
      <c r="L3" s="41" t="inlineStr">
        <is>
          <t>Amount</t>
        </is>
      </c>
      <c r="M3" s="56" t="inlineStr">
        <is>
          <t>Qty</t>
        </is>
      </c>
      <c r="N3" s="41" t="inlineStr">
        <is>
          <t>Amount</t>
        </is>
      </c>
      <c r="O3" s="56" t="inlineStr">
        <is>
          <t>Qty</t>
        </is>
      </c>
      <c r="P3" s="41" t="inlineStr">
        <is>
          <t>Amount</t>
        </is>
      </c>
      <c r="Q3" s="56" t="inlineStr">
        <is>
          <t>Qty</t>
        </is>
      </c>
      <c r="R3" s="41" t="inlineStr">
        <is>
          <t>Amount</t>
        </is>
      </c>
      <c r="S3" s="56" t="inlineStr">
        <is>
          <t>Qty</t>
        </is>
      </c>
      <c r="T3" s="41" t="inlineStr">
        <is>
          <t>Amount</t>
        </is>
      </c>
      <c r="U3" s="46" t="n"/>
      <c r="W3" s="2" t="inlineStr">
        <is>
          <t>diesal</t>
        </is>
      </c>
      <c r="X3" s="2">
        <f>+SUMIFS(C15:C25,B15:B25,W3)</f>
        <v/>
      </c>
    </row>
    <row r="4" customFormat="1" s="2">
      <c r="A4" s="3" t="inlineStr">
        <is>
          <t>Petrol</t>
        </is>
      </c>
      <c r="B4" s="12">
        <f>+(H13+H14+H15)/$C$4</f>
        <v/>
      </c>
      <c r="C4" s="4" t="n">
        <v>104.71</v>
      </c>
      <c r="D4" s="5">
        <f>B4*C4</f>
        <v/>
      </c>
      <c r="E4" s="6" t="n">
        <v>0</v>
      </c>
      <c r="F4" s="7">
        <f>+E4*C4</f>
        <v/>
      </c>
      <c r="G4" s="9">
        <f>+(H8*60%)/$C$4</f>
        <v/>
      </c>
      <c r="H4" s="7">
        <f>+G4*C4</f>
        <v/>
      </c>
      <c r="I4" s="6">
        <f>J4/C4</f>
        <v/>
      </c>
      <c r="J4" s="7" t="n">
        <v>0</v>
      </c>
      <c r="K4" s="8">
        <f>+L8/$C$4</f>
        <v/>
      </c>
      <c r="L4" s="7">
        <f>+K4*C4</f>
        <v/>
      </c>
      <c r="M4" s="9">
        <f>+(N8*60%)/$C$4</f>
        <v/>
      </c>
      <c r="N4" s="7">
        <f>+M4*C4</f>
        <v/>
      </c>
      <c r="O4" s="9" t="n"/>
      <c r="P4" s="7">
        <f>+O4*C4</f>
        <v/>
      </c>
      <c r="Q4" s="6" t="n">
        <v>897.0262439117565</v>
      </c>
      <c r="R4" s="7">
        <f>+Q4*C4</f>
        <v/>
      </c>
      <c r="S4" s="10">
        <f>+X4</f>
        <v/>
      </c>
      <c r="T4" s="7">
        <f>+S4*C4</f>
        <v/>
      </c>
      <c r="U4" s="11">
        <f>+B4-E4-G4-Q4-S4-K4-I4-M4-O4</f>
        <v/>
      </c>
      <c r="W4" t="inlineStr">
        <is>
          <t>petrol</t>
        </is>
      </c>
      <c r="X4" s="2">
        <f>+SUMIFS(C15:C26,B15:B26,W4)</f>
        <v/>
      </c>
    </row>
    <row r="5" customFormat="1" s="2">
      <c r="A5" s="3" t="inlineStr">
        <is>
          <t>Diesal</t>
        </is>
      </c>
      <c r="B5" s="12">
        <f>+(I13+I14+I15)/$C$5</f>
        <v/>
      </c>
      <c r="C5" s="4" t="n">
        <v>90.20999999999999</v>
      </c>
      <c r="D5" s="5">
        <f>B5*C5</f>
        <v/>
      </c>
      <c r="E5" s="6" t="n">
        <v>0</v>
      </c>
      <c r="F5" s="7">
        <f>+E5*C5</f>
        <v/>
      </c>
      <c r="G5" s="6">
        <f>+(H8*40%)/$C$5</f>
        <v/>
      </c>
      <c r="H5" s="7">
        <f>+G5*C5</f>
        <v/>
      </c>
      <c r="I5" s="6">
        <f>+J8/C5</f>
        <v/>
      </c>
      <c r="J5" s="7">
        <f>+I5*C5</f>
        <v/>
      </c>
      <c r="K5" s="6" t="n">
        <v>0</v>
      </c>
      <c r="L5" s="7">
        <f>+K5*C5</f>
        <v/>
      </c>
      <c r="M5" s="6">
        <f>+(N8*40%)/$C$5</f>
        <v/>
      </c>
      <c r="N5" s="7">
        <f>+M5*C5</f>
        <v/>
      </c>
      <c r="O5" s="9">
        <f>+P8/C5</f>
        <v/>
      </c>
      <c r="P5" s="7">
        <f>+O5*C5</f>
        <v/>
      </c>
      <c r="Q5" s="6" t="n">
        <v>582.0269593171491</v>
      </c>
      <c r="R5" s="7">
        <f>+Q5*C5</f>
        <v/>
      </c>
      <c r="S5" s="10">
        <f>+X3</f>
        <v/>
      </c>
      <c r="T5" s="7">
        <f>+S5*C5</f>
        <v/>
      </c>
      <c r="U5" s="11">
        <f>+B5-E5-G5-Q5-S5-K5-I5-M5-O5</f>
        <v/>
      </c>
      <c r="W5" t="inlineStr">
        <is>
          <t>Petrol Power</t>
        </is>
      </c>
      <c r="X5" s="2">
        <f>+SUMIFS(C17:C27,B17:B27,W5)</f>
        <v/>
      </c>
    </row>
    <row r="6" customFormat="1" s="2">
      <c r="A6" s="3" t="inlineStr">
        <is>
          <t>Petrol Power</t>
        </is>
      </c>
      <c r="B6" s="12">
        <f>+(J13+J14+J15)/$C$6</f>
        <v/>
      </c>
      <c r="C6" s="4" t="n">
        <v>112.8</v>
      </c>
      <c r="D6" s="5">
        <f>B6*C6</f>
        <v/>
      </c>
      <c r="E6" s="6" t="n">
        <v>0</v>
      </c>
      <c r="F6" s="7">
        <f>+E6*C6</f>
        <v/>
      </c>
      <c r="G6" s="6" t="n"/>
      <c r="H6" s="7">
        <f>+G6*C6</f>
        <v/>
      </c>
      <c r="I6" s="6" t="n">
        <v>0</v>
      </c>
      <c r="J6" s="7">
        <f>+I6*C6</f>
        <v/>
      </c>
      <c r="K6" s="6" t="n">
        <v>0</v>
      </c>
      <c r="L6" s="7">
        <f>+K6*C6</f>
        <v/>
      </c>
      <c r="M6" s="9" t="n">
        <v>0</v>
      </c>
      <c r="N6" s="7">
        <f>+M6*C6</f>
        <v/>
      </c>
      <c r="O6" s="9" t="n"/>
      <c r="P6" s="7">
        <f>+O6*C6</f>
        <v/>
      </c>
      <c r="Q6" s="6" t="n">
        <v>65.91312056737588</v>
      </c>
      <c r="R6" s="7">
        <f>+Q6*C6</f>
        <v/>
      </c>
      <c r="S6" s="10">
        <f>+X5</f>
        <v/>
      </c>
      <c r="T6" s="7">
        <f>+S6*C6</f>
        <v/>
      </c>
      <c r="U6" s="11">
        <f>+B6-E6-G6-Q6-S6-K6-I6-M6-O6</f>
        <v/>
      </c>
    </row>
    <row r="7" customFormat="1" s="2">
      <c r="A7" s="3" t="n"/>
      <c r="B7" s="38">
        <f>SUM(B4:B6)</f>
        <v/>
      </c>
      <c r="C7" s="3" t="n"/>
      <c r="D7" s="13">
        <f>SUM(D4:D6)</f>
        <v/>
      </c>
      <c r="E7" s="14">
        <f>SUM(E4:E6)</f>
        <v/>
      </c>
      <c r="F7" s="15">
        <f>SUM(F4:F6)</f>
        <v/>
      </c>
      <c r="G7" s="14">
        <f>SUM(G4:G6)</f>
        <v/>
      </c>
      <c r="H7" s="15">
        <f>SUM(H4:H6)</f>
        <v/>
      </c>
      <c r="I7" s="14">
        <f>SUM(I4:I6)</f>
        <v/>
      </c>
      <c r="J7" s="15">
        <f>SUM(J4:J6)</f>
        <v/>
      </c>
      <c r="K7" s="14">
        <f>SUM(K4:K6)</f>
        <v/>
      </c>
      <c r="L7" s="15">
        <f>SUM(L4:L6)</f>
        <v/>
      </c>
      <c r="M7" s="14">
        <f>SUM(M4:M6)</f>
        <v/>
      </c>
      <c r="N7" s="15">
        <f>SUM(N4:N6)</f>
        <v/>
      </c>
      <c r="O7" s="14">
        <f>SUM(O4:O6)</f>
        <v/>
      </c>
      <c r="P7" s="15">
        <f>SUM(P4:P6)</f>
        <v/>
      </c>
      <c r="Q7" s="14">
        <f>SUM(Q4:Q6)</f>
        <v/>
      </c>
      <c r="R7" s="15">
        <f>SUM(R4:R6)</f>
        <v/>
      </c>
      <c r="S7" s="14">
        <f>SUM(S4:S6)</f>
        <v/>
      </c>
      <c r="T7" s="15">
        <f>SUM(T4:T6)</f>
        <v/>
      </c>
      <c r="U7" s="11">
        <f>+B7-E7-G7-Q7-S7-K7-I7-M7-O7</f>
        <v/>
      </c>
    </row>
    <row r="8" ht="15" customFormat="1" customHeight="1" s="2" thickBot="1">
      <c r="A8" s="52" t="inlineStr">
        <is>
          <t>Actual Amount</t>
        </is>
      </c>
      <c r="B8" s="53" t="n"/>
      <c r="C8" s="16" t="n"/>
      <c r="D8" s="17" t="n"/>
      <c r="E8" s="18" t="n"/>
      <c r="F8" s="19" t="n">
        <v>0</v>
      </c>
      <c r="G8" s="18" t="n"/>
      <c r="H8" s="19" t="n">
        <v>69818.17</v>
      </c>
      <c r="I8" s="18" t="n"/>
      <c r="J8" s="19" t="n">
        <v>7320</v>
      </c>
      <c r="K8" s="18" t="n"/>
      <c r="L8" s="19" t="n">
        <v>3268.84</v>
      </c>
      <c r="M8" s="20" t="n"/>
      <c r="N8" s="19" t="n">
        <v>72679.39999999999</v>
      </c>
      <c r="O8" s="20" t="inlineStr"/>
      <c r="P8" s="19" t="n">
        <v>0</v>
      </c>
      <c r="Q8" s="18" t="n">
        <v>0</v>
      </c>
      <c r="R8" s="19" t="n">
        <v>151863</v>
      </c>
      <c r="S8" s="18" t="n"/>
      <c r="T8" s="19" t="n">
        <v>45733.32</v>
      </c>
      <c r="U8" s="17" t="n"/>
    </row>
    <row r="9" ht="15.6" customHeight="1" s="69" thickBot="1" thickTop="1">
      <c r="A9" s="48" t="inlineStr">
        <is>
          <t>Diffrence should be zero</t>
        </is>
      </c>
      <c r="B9" s="49" t="n"/>
      <c r="C9" s="49" t="n"/>
      <c r="D9" s="21" t="n"/>
      <c r="E9" s="21" t="n"/>
      <c r="F9" s="22">
        <f>+F7-F8</f>
        <v/>
      </c>
      <c r="G9" s="21" t="n"/>
      <c r="H9" s="22">
        <f>+H7-H8</f>
        <v/>
      </c>
      <c r="I9" s="21" t="n"/>
      <c r="J9" s="22">
        <f>+J7-J8</f>
        <v/>
      </c>
      <c r="K9" s="21" t="n"/>
      <c r="L9" s="22">
        <f>+L7-L8</f>
        <v/>
      </c>
      <c r="M9" s="22" t="n"/>
      <c r="N9" s="22">
        <f>+N7-N8</f>
        <v/>
      </c>
      <c r="O9" s="22" t="n"/>
      <c r="P9" s="22">
        <f>+P7-P8</f>
        <v/>
      </c>
      <c r="Q9" s="21" t="n"/>
      <c r="R9" s="22">
        <f>+R7-R8</f>
        <v/>
      </c>
      <c r="S9" s="21" t="n"/>
      <c r="T9" s="22">
        <f>+T7-T8</f>
        <v/>
      </c>
      <c r="U9" s="23" t="n"/>
    </row>
    <row r="10" ht="15" customHeight="1" s="69" thickTop="1">
      <c r="A10" s="24" t="n"/>
      <c r="B10" s="24" t="n">
        <v>0</v>
      </c>
      <c r="C10" s="24" t="n"/>
      <c r="D10" s="2" t="n"/>
      <c r="E10" s="2" t="n"/>
      <c r="F10" s="25" t="n"/>
      <c r="G10" s="2" t="n"/>
      <c r="H10" s="25" t="n"/>
      <c r="I10" s="2" t="n"/>
      <c r="J10" s="25" t="n"/>
      <c r="K10" s="2" t="n"/>
      <c r="L10" s="6" t="n"/>
      <c r="M10" s="2" t="n"/>
      <c r="N10" s="25" t="n"/>
      <c r="O10" s="25" t="n"/>
      <c r="P10" s="25" t="n"/>
      <c r="Q10" s="25" t="n"/>
      <c r="R10" s="25" t="n"/>
      <c r="S10" s="2" t="n"/>
      <c r="T10" s="25" t="n"/>
      <c r="U10" s="2" t="n"/>
    </row>
    <row r="11">
      <c r="A11" s="26" t="inlineStr">
        <is>
          <t>sales value diff</t>
        </is>
      </c>
      <c r="D11" s="27">
        <f>+D7-F8-H8-L8-J8-R8-T8-N8-P8</f>
        <v/>
      </c>
      <c r="F11" s="72" t="n"/>
      <c r="M11" s="72" t="n"/>
    </row>
    <row r="12">
      <c r="F12" s="72" t="n"/>
      <c r="G12" s="72" t="n"/>
      <c r="H12" s="29" t="inlineStr">
        <is>
          <t>Petrol</t>
        </is>
      </c>
      <c r="I12" s="29" t="inlineStr">
        <is>
          <t>Diesal</t>
        </is>
      </c>
      <c r="J12" s="29" t="inlineStr">
        <is>
          <t>Power</t>
        </is>
      </c>
    </row>
    <row r="13">
      <c r="A13" s="58" t="inlineStr">
        <is>
          <t>CREDIT DETAIL</t>
        </is>
      </c>
      <c r="B13" s="59" t="n"/>
      <c r="C13" s="59" t="n"/>
      <c r="D13" s="59" t="n"/>
      <c r="E13" s="59" t="n"/>
      <c r="F13" s="57" t="n"/>
      <c r="H13" s="79" t="n">
        <v>72722</v>
      </c>
      <c r="I13" s="80" t="n">
        <v>49880</v>
      </c>
      <c r="J13" s="79" t="n">
        <v>7435</v>
      </c>
    </row>
    <row r="14">
      <c r="A14" s="29" t="inlineStr">
        <is>
          <t>particular</t>
        </is>
      </c>
      <c r="B14" s="29" t="inlineStr">
        <is>
          <t xml:space="preserve">Type </t>
        </is>
      </c>
      <c r="C14" s="31" t="inlineStr">
        <is>
          <t>QTY</t>
        </is>
      </c>
      <c r="D14" s="31" t="inlineStr">
        <is>
          <t>RATE</t>
        </is>
      </c>
      <c r="E14" s="31" t="inlineStr">
        <is>
          <t>AMOUNT</t>
        </is>
      </c>
      <c r="F14" s="32" t="inlineStr">
        <is>
          <t>inv no</t>
        </is>
      </c>
      <c r="H14" s="79" t="n">
        <v>109973</v>
      </c>
      <c r="I14" s="80" t="n">
        <v>48891</v>
      </c>
      <c r="J14" s="79" t="n"/>
      <c r="K14" s="74" t="n"/>
      <c r="L14" s="74" t="n"/>
      <c r="M14" s="74" t="n"/>
    </row>
    <row r="15">
      <c r="A15" s="33" t="inlineStr">
        <is>
          <t>Balaji Care and Cure</t>
        </is>
      </c>
      <c r="B15" s="34" t="inlineStr">
        <is>
          <t>diesal</t>
        </is>
      </c>
      <c r="C15" s="29">
        <f>+E15/D15</f>
        <v/>
      </c>
      <c r="D15" s="79">
        <f>+VLOOKUP(B15,A$4:C$6,3,0)</f>
        <v/>
      </c>
      <c r="E15" s="81" t="n">
        <v>2000</v>
      </c>
      <c r="F15" s="34" t="n">
        <v>21337</v>
      </c>
      <c r="H15" s="80" t="n"/>
      <c r="I15" s="80" t="n">
        <v>61782</v>
      </c>
      <c r="J15" s="80" t="n"/>
      <c r="K15" s="72" t="n"/>
    </row>
    <row r="16">
      <c r="A16" s="33" t="inlineStr">
        <is>
          <t>Shyam Tran.</t>
        </is>
      </c>
      <c r="B16" s="34" t="inlineStr">
        <is>
          <t>diesal</t>
        </is>
      </c>
      <c r="C16" s="29">
        <f>+E16/D16</f>
        <v/>
      </c>
      <c r="D16" s="79">
        <f>+VLOOKUP(B16,A$4:C$6,3,0)</f>
        <v/>
      </c>
      <c r="E16" s="81" t="n">
        <v>3637.26</v>
      </c>
      <c r="F16" s="34" t="n">
        <v>21338</v>
      </c>
      <c r="H16" s="79">
        <f>+H24/C4</f>
        <v/>
      </c>
      <c r="I16" s="43">
        <f>+I24/C5</f>
        <v/>
      </c>
      <c r="J16" s="43">
        <f>+J24/C6</f>
        <v/>
      </c>
      <c r="K16" s="72" t="n"/>
      <c r="M16" s="72" t="n"/>
    </row>
    <row r="17">
      <c r="A17" s="33" t="inlineStr">
        <is>
          <t>mool Chand yadav</t>
        </is>
      </c>
      <c r="B17" s="34" t="inlineStr">
        <is>
          <t>diesal</t>
        </is>
      </c>
      <c r="C17" s="29">
        <f>+E17/D17</f>
        <v/>
      </c>
      <c r="D17" s="79">
        <f>+VLOOKUP(B17,A$4:C$6,3,0)</f>
        <v/>
      </c>
      <c r="E17" s="82" t="n">
        <v>18591.37</v>
      </c>
      <c r="F17" s="34" t="n">
        <v>21335</v>
      </c>
      <c r="H17" s="72" t="n"/>
      <c r="K17" s="72" t="n"/>
    </row>
    <row r="18">
      <c r="A18" s="33" t="inlineStr">
        <is>
          <t>Sitaram Yadav</t>
        </is>
      </c>
      <c r="B18" s="34" t="inlineStr">
        <is>
          <t>diesal</t>
        </is>
      </c>
      <c r="C18" s="29">
        <f>+E18/D18</f>
        <v/>
      </c>
      <c r="D18" s="79">
        <f>+VLOOKUP(B18,A$4:C$6,3,0)</f>
        <v/>
      </c>
      <c r="E18" s="82" t="n">
        <v>19500.69</v>
      </c>
      <c r="F18" s="34" t="n">
        <v>21336</v>
      </c>
    </row>
    <row r="19">
      <c r="A19" s="33" t="n"/>
      <c r="B19" s="34" t="inlineStr">
        <is>
          <t>diesal</t>
        </is>
      </c>
      <c r="C19" s="29">
        <f>+E19/D19</f>
        <v/>
      </c>
      <c r="D19" s="79">
        <f>+VLOOKUP(B19,A$4:C$6,3,0)</f>
        <v/>
      </c>
      <c r="E19" s="82" t="n"/>
      <c r="F19" s="39" t="n"/>
      <c r="K19" s="72" t="n"/>
      <c r="M19" s="72" t="n"/>
    </row>
    <row r="20">
      <c r="A20" s="33" t="n"/>
      <c r="B20" s="34" t="inlineStr">
        <is>
          <t>diesal</t>
        </is>
      </c>
      <c r="C20" s="29">
        <f>+E20/D20</f>
        <v/>
      </c>
      <c r="D20" s="79">
        <f>+VLOOKUP(B20,A$4:C$6,3,0)</f>
        <v/>
      </c>
      <c r="E20" s="82" t="n"/>
      <c r="F20" s="79" t="n"/>
      <c r="K20" s="72" t="n"/>
    </row>
    <row r="21">
      <c r="A21" s="33" t="n"/>
      <c r="B21" s="34" t="inlineStr">
        <is>
          <t>diesal</t>
        </is>
      </c>
      <c r="C21" s="29">
        <f>+E21/D21</f>
        <v/>
      </c>
      <c r="D21" s="79">
        <f>+VLOOKUP(B21,A$4:C$6,3,0)</f>
        <v/>
      </c>
      <c r="E21" s="82" t="n"/>
      <c r="F21" s="35" t="n"/>
      <c r="H21" s="71" t="n"/>
      <c r="K21" s="72" t="n"/>
      <c r="M21" s="72" t="n"/>
    </row>
    <row r="22">
      <c r="A22" s="33" t="n"/>
      <c r="B22" s="34" t="inlineStr">
        <is>
          <t>diesal</t>
        </is>
      </c>
      <c r="C22" s="29">
        <f>+E22/D22</f>
        <v/>
      </c>
      <c r="D22" s="79">
        <f>+VLOOKUP(B22,A$4:C$6,3,0)</f>
        <v/>
      </c>
      <c r="E22" s="82" t="n"/>
      <c r="F22" s="79" t="n"/>
    </row>
    <row r="23">
      <c r="A23" s="34" t="n"/>
      <c r="B23" s="34" t="inlineStr">
        <is>
          <t>diesal</t>
        </is>
      </c>
      <c r="C23" s="29">
        <f>+E23/D23</f>
        <v/>
      </c>
      <c r="D23" s="79">
        <f>+VLOOKUP(B23,A$4:C$6,3,0)</f>
        <v/>
      </c>
      <c r="E23" s="82" t="n"/>
      <c r="F23" s="79" t="n"/>
    </row>
    <row r="24">
      <c r="A24" s="34" t="n"/>
      <c r="B24" s="34" t="inlineStr">
        <is>
          <t>diesal</t>
        </is>
      </c>
      <c r="C24" s="29">
        <f>+E24/D24</f>
        <v/>
      </c>
      <c r="D24" s="79">
        <f>+VLOOKUP(B24,A$4:C$6,3,0)</f>
        <v/>
      </c>
      <c r="E24" s="29" t="n"/>
      <c r="F24" s="79" t="n"/>
      <c r="H24" s="72" t="n"/>
      <c r="I24" s="72" t="n"/>
      <c r="J24" s="72" t="n"/>
    </row>
    <row r="25">
      <c r="A25" s="34" t="n"/>
      <c r="B25" s="34" t="inlineStr">
        <is>
          <t>diesal</t>
        </is>
      </c>
      <c r="C25" s="29">
        <f>+E25/D25</f>
        <v/>
      </c>
      <c r="D25" s="79">
        <f>+VLOOKUP(B25,A$4:C$6,3,0)</f>
        <v/>
      </c>
      <c r="E25" s="29" t="n"/>
      <c r="F25" s="79" t="n"/>
      <c r="H25" s="72" t="n"/>
    </row>
    <row r="26">
      <c r="A26" s="79" t="n"/>
      <c r="B26" s="79" t="n"/>
      <c r="C26" s="29">
        <f>SUM(C15:C25)</f>
        <v/>
      </c>
      <c r="D26" s="29" t="n"/>
      <c r="E26" s="29">
        <f>SUM(E15:E25)</f>
        <v/>
      </c>
      <c r="F26" s="79" t="n"/>
    </row>
    <row r="50">
      <c r="E50" t="n">
        <v>9</v>
      </c>
    </row>
  </sheetData>
  <mergeCells count="16">
    <mergeCell ref="O2:P2"/>
    <mergeCell ref="M2:N2"/>
    <mergeCell ref="S2:T2"/>
    <mergeCell ref="Q2:R2"/>
    <mergeCell ref="A13:F13"/>
    <mergeCell ref="G2:H2"/>
    <mergeCell ref="E2:F2"/>
    <mergeCell ref="K2:L2"/>
    <mergeCell ref="I2:J2"/>
    <mergeCell ref="U2:U3"/>
    <mergeCell ref="C2:C3"/>
    <mergeCell ref="A9:C9"/>
    <mergeCell ref="B2:B3"/>
    <mergeCell ref="A2:A3"/>
    <mergeCell ref="D2:D3"/>
    <mergeCell ref="A8:B8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X50"/>
  <sheetViews>
    <sheetView workbookViewId="0">
      <selection activeCell="A1" sqref="A1"/>
    </sheetView>
  </sheetViews>
  <sheetFormatPr baseColWidth="8" defaultColWidth="9.109375" defaultRowHeight="14.4"/>
  <cols>
    <col width="13.109375" customWidth="1" style="69" min="1" max="1"/>
    <col width="12" customWidth="1" style="69" min="2" max="2"/>
    <col width="12" customWidth="1" style="69" min="4" max="4"/>
    <col width="13.109375" customWidth="1" style="69" min="5" max="5"/>
    <col width="14" customWidth="1" style="69" min="6" max="6"/>
    <col width="10.109375" customWidth="1" style="69" min="7" max="7"/>
    <col width="10.6640625" customWidth="1" style="69" min="8" max="8"/>
    <col width="9.5546875" customWidth="1" style="69" min="9" max="9"/>
    <col width="10.6640625" customWidth="1" style="69" min="10" max="14"/>
    <col width="13.44140625" customWidth="1" style="69" min="15" max="15"/>
    <col width="11.88671875" customWidth="1" style="69" min="16" max="16"/>
    <col width="10.6640625" customWidth="1" style="69" min="18" max="18"/>
    <col width="9.5546875" customWidth="1" style="69" min="19" max="19"/>
    <col width="10.6640625" customWidth="1" style="69" min="20" max="20"/>
    <col width="9.6640625" customWidth="1" style="69" min="21" max="21"/>
    <col width="12.5546875" customWidth="1" style="69" min="23" max="23"/>
    <col width="12" customWidth="1" style="69" min="24" max="24"/>
  </cols>
  <sheetData>
    <row r="1" ht="18.6" customHeight="1" s="69"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</row>
    <row r="2" ht="18.6" customHeight="1" s="69">
      <c r="A2" s="47" t="inlineStr">
        <is>
          <t>Particular</t>
        </is>
      </c>
      <c r="B2" s="47" t="inlineStr">
        <is>
          <t>Qty</t>
        </is>
      </c>
      <c r="C2" s="47" t="inlineStr">
        <is>
          <t>Rate</t>
        </is>
      </c>
      <c r="D2" s="50" t="inlineStr">
        <is>
          <t>Amount</t>
        </is>
      </c>
      <c r="E2" s="56" t="inlineStr">
        <is>
          <t>Pos SBI</t>
        </is>
      </c>
      <c r="F2" s="57" t="n"/>
      <c r="G2" s="56" t="inlineStr">
        <is>
          <t>Paytm</t>
        </is>
      </c>
      <c r="H2" s="57" t="n"/>
      <c r="I2" s="56" t="inlineStr">
        <is>
          <t>HP Card</t>
        </is>
      </c>
      <c r="J2" s="57" t="n"/>
      <c r="K2" s="56" t="inlineStr">
        <is>
          <t>ICICI</t>
        </is>
      </c>
      <c r="L2" s="57" t="n"/>
      <c r="M2" s="56" t="inlineStr">
        <is>
          <t>phone pe</t>
        </is>
      </c>
      <c r="N2" s="57" t="n"/>
      <c r="O2" s="54" t="inlineStr">
        <is>
          <t>mobiquick</t>
        </is>
      </c>
      <c r="P2" s="55" t="n"/>
      <c r="Q2" s="56" t="inlineStr">
        <is>
          <t xml:space="preserve">CASH </t>
        </is>
      </c>
      <c r="R2" s="57" t="n"/>
      <c r="S2" s="56" t="inlineStr">
        <is>
          <t>Credit</t>
        </is>
      </c>
      <c r="T2" s="57" t="n"/>
      <c r="U2" s="45" t="inlineStr">
        <is>
          <t>Qty Diffrence</t>
        </is>
      </c>
      <c r="W2" s="2" t="n"/>
      <c r="X2" s="2" t="n"/>
    </row>
    <row r="3" ht="18.6" customHeight="1" s="69">
      <c r="A3" s="46" t="n"/>
      <c r="B3" s="46" t="n"/>
      <c r="C3" s="46" t="n"/>
      <c r="D3" s="51" t="n"/>
      <c r="E3" s="56" t="inlineStr">
        <is>
          <t>Qty</t>
        </is>
      </c>
      <c r="F3" s="41" t="inlineStr">
        <is>
          <t>Amount</t>
        </is>
      </c>
      <c r="G3" s="56" t="inlineStr">
        <is>
          <t>Qty</t>
        </is>
      </c>
      <c r="H3" s="41" t="inlineStr">
        <is>
          <t>Amount</t>
        </is>
      </c>
      <c r="I3" s="56" t="inlineStr">
        <is>
          <t>Qty</t>
        </is>
      </c>
      <c r="J3" s="41" t="inlineStr">
        <is>
          <t>Amount</t>
        </is>
      </c>
      <c r="K3" s="56" t="inlineStr">
        <is>
          <t>Qty</t>
        </is>
      </c>
      <c r="L3" s="41" t="inlineStr">
        <is>
          <t>Amount</t>
        </is>
      </c>
      <c r="M3" s="56" t="inlineStr">
        <is>
          <t>Qty</t>
        </is>
      </c>
      <c r="N3" s="41" t="inlineStr">
        <is>
          <t>Amount</t>
        </is>
      </c>
      <c r="O3" s="56" t="inlineStr">
        <is>
          <t>Qty</t>
        </is>
      </c>
      <c r="P3" s="41" t="inlineStr">
        <is>
          <t>Amount</t>
        </is>
      </c>
      <c r="Q3" s="56" t="inlineStr">
        <is>
          <t>Qty</t>
        </is>
      </c>
      <c r="R3" s="41" t="inlineStr">
        <is>
          <t>Amount</t>
        </is>
      </c>
      <c r="S3" s="56" t="inlineStr">
        <is>
          <t>Qty</t>
        </is>
      </c>
      <c r="T3" s="41" t="inlineStr">
        <is>
          <t>Amount</t>
        </is>
      </c>
      <c r="U3" s="46" t="n"/>
      <c r="W3" s="2" t="inlineStr">
        <is>
          <t>diesal</t>
        </is>
      </c>
      <c r="X3" s="2">
        <f>+SUMIFS(C15:C25,B15:B25,W3)</f>
        <v/>
      </c>
    </row>
    <row r="4" customFormat="1" s="2">
      <c r="A4" s="3" t="inlineStr">
        <is>
          <t>Petrol</t>
        </is>
      </c>
      <c r="B4" s="12">
        <f>+(H13+H14+H15)/$C$4</f>
        <v/>
      </c>
      <c r="C4" s="4" t="n">
        <v>104.71</v>
      </c>
      <c r="D4" s="5">
        <f>B4*C4</f>
        <v/>
      </c>
      <c r="E4" s="6" t="n">
        <v>0</v>
      </c>
      <c r="F4" s="7">
        <f>+E4*C4</f>
        <v/>
      </c>
      <c r="G4" s="9">
        <f>+(H8*60%)/$C$4</f>
        <v/>
      </c>
      <c r="H4" s="7">
        <f>+G4*C4</f>
        <v/>
      </c>
      <c r="I4" s="6">
        <f>J4/C4</f>
        <v/>
      </c>
      <c r="J4" s="7" t="n">
        <v>0</v>
      </c>
      <c r="K4" s="8">
        <f>+L8/$C$4</f>
        <v/>
      </c>
      <c r="L4" s="7">
        <f>+K4*C4</f>
        <v/>
      </c>
      <c r="M4" s="9">
        <f>+(N8*60%)/$C$4</f>
        <v/>
      </c>
      <c r="N4" s="7">
        <f>+M4*C4</f>
        <v/>
      </c>
      <c r="O4" s="9" t="n"/>
      <c r="P4" s="7">
        <f>+O4*C4</f>
        <v/>
      </c>
      <c r="Q4" s="6" t="n">
        <v>908.2371311240571</v>
      </c>
      <c r="R4" s="7">
        <f>+Q4*C4</f>
        <v/>
      </c>
      <c r="S4" s="10">
        <f>+X4</f>
        <v/>
      </c>
      <c r="T4" s="7">
        <f>+S4*C4</f>
        <v/>
      </c>
      <c r="U4" s="11">
        <f>+B4-E4-G4-Q4-S4-K4-I4-M4-O4</f>
        <v/>
      </c>
      <c r="W4" t="inlineStr">
        <is>
          <t>petrol</t>
        </is>
      </c>
      <c r="X4" s="2">
        <f>+SUMIFS(C15:C26,B15:B26,W4)</f>
        <v/>
      </c>
    </row>
    <row r="5" customFormat="1" s="2">
      <c r="A5" s="3" t="inlineStr">
        <is>
          <t>Diesal</t>
        </is>
      </c>
      <c r="B5" s="12">
        <f>+(I13+I14+I15)/$C$5</f>
        <v/>
      </c>
      <c r="C5" s="4" t="n">
        <v>90.20999999999999</v>
      </c>
      <c r="D5" s="5">
        <f>B5*C5</f>
        <v/>
      </c>
      <c r="E5" s="6" t="n">
        <v>0</v>
      </c>
      <c r="F5" s="7">
        <f>+E5*C5</f>
        <v/>
      </c>
      <c r="G5" s="6">
        <f>+(H8*40%)/$C$5</f>
        <v/>
      </c>
      <c r="H5" s="7">
        <f>+G5*C5</f>
        <v/>
      </c>
      <c r="I5" s="6">
        <f>+J8/C5</f>
        <v/>
      </c>
      <c r="J5" s="7">
        <f>+I5*C5</f>
        <v/>
      </c>
      <c r="K5" s="6" t="n">
        <v>0</v>
      </c>
      <c r="L5" s="7">
        <f>+K5*C5</f>
        <v/>
      </c>
      <c r="M5" s="6">
        <f>+(N8*40%)/$C$5</f>
        <v/>
      </c>
      <c r="N5" s="7">
        <f>+M5*C5</f>
        <v/>
      </c>
      <c r="O5" s="9">
        <f>+P8/C5</f>
        <v/>
      </c>
      <c r="P5" s="7">
        <f>+O5*C5</f>
        <v/>
      </c>
      <c r="Q5" s="6" t="n">
        <v>401.6392861101874</v>
      </c>
      <c r="R5" s="7">
        <f>+Q5*C5</f>
        <v/>
      </c>
      <c r="S5" s="10">
        <f>+X3</f>
        <v/>
      </c>
      <c r="T5" s="7">
        <f>+S5*C5</f>
        <v/>
      </c>
      <c r="U5" s="11">
        <f>+B5-E5-G5-Q5-S5-K5-I5-M5-O5</f>
        <v/>
      </c>
      <c r="W5" t="inlineStr">
        <is>
          <t>Petrol Power</t>
        </is>
      </c>
      <c r="X5" s="2">
        <f>+SUMIFS(C17:C27,B17:B27,W5)</f>
        <v/>
      </c>
    </row>
    <row r="6" customFormat="1" s="2">
      <c r="A6" s="3" t="inlineStr">
        <is>
          <t>Petrol Power</t>
        </is>
      </c>
      <c r="B6" s="12">
        <f>+(J13+J14+J15)/$C$6</f>
        <v/>
      </c>
      <c r="C6" s="4" t="n">
        <v>112.8</v>
      </c>
      <c r="D6" s="5">
        <f>B6*C6</f>
        <v/>
      </c>
      <c r="E6" s="6" t="n">
        <v>0</v>
      </c>
      <c r="F6" s="7">
        <f>+E6*C6</f>
        <v/>
      </c>
      <c r="G6" s="6" t="n"/>
      <c r="H6" s="7">
        <f>+G6*C6</f>
        <v/>
      </c>
      <c r="I6" s="6" t="n">
        <v>0</v>
      </c>
      <c r="J6" s="7">
        <f>+I6*C6</f>
        <v/>
      </c>
      <c r="K6" s="6" t="n">
        <v>0</v>
      </c>
      <c r="L6" s="7">
        <f>+K6*C6</f>
        <v/>
      </c>
      <c r="M6" s="9" t="n">
        <v>0</v>
      </c>
      <c r="N6" s="7">
        <f>+M6*C6</f>
        <v/>
      </c>
      <c r="O6" s="9" t="n"/>
      <c r="P6" s="7">
        <f>+O6*C6</f>
        <v/>
      </c>
      <c r="Q6" s="6" t="n">
        <v>14.08687943262411</v>
      </c>
      <c r="R6" s="7">
        <f>+Q6*C6</f>
        <v/>
      </c>
      <c r="S6" s="10">
        <f>+X5</f>
        <v/>
      </c>
      <c r="T6" s="7">
        <f>+S6*C6</f>
        <v/>
      </c>
      <c r="U6" s="11">
        <f>+B6-E6-G6-Q6-S6-K6-I6-M6-O6</f>
        <v/>
      </c>
    </row>
    <row r="7" customFormat="1" s="2">
      <c r="A7" s="3" t="n"/>
      <c r="B7" s="38">
        <f>SUM(B4:B6)</f>
        <v/>
      </c>
      <c r="C7" s="3" t="n"/>
      <c r="D7" s="13">
        <f>SUM(D4:D6)</f>
        <v/>
      </c>
      <c r="E7" s="14">
        <f>SUM(E4:E6)</f>
        <v/>
      </c>
      <c r="F7" s="15">
        <f>SUM(F4:F6)</f>
        <v/>
      </c>
      <c r="G7" s="14">
        <f>SUM(G4:G6)</f>
        <v/>
      </c>
      <c r="H7" s="15">
        <f>SUM(H4:H6)</f>
        <v/>
      </c>
      <c r="I7" s="14">
        <f>SUM(I4:I6)</f>
        <v/>
      </c>
      <c r="J7" s="15">
        <f>SUM(J4:J6)</f>
        <v/>
      </c>
      <c r="K7" s="14">
        <f>SUM(K4:K6)</f>
        <v/>
      </c>
      <c r="L7" s="15">
        <f>SUM(L4:L6)</f>
        <v/>
      </c>
      <c r="M7" s="14">
        <f>SUM(M4:M6)</f>
        <v/>
      </c>
      <c r="N7" s="15">
        <f>SUM(N4:N6)</f>
        <v/>
      </c>
      <c r="O7" s="14">
        <f>SUM(O4:O6)</f>
        <v/>
      </c>
      <c r="P7" s="15">
        <f>SUM(P4:P6)</f>
        <v/>
      </c>
      <c r="Q7" s="14">
        <f>SUM(Q4:Q6)</f>
        <v/>
      </c>
      <c r="R7" s="15">
        <f>SUM(R4:R6)</f>
        <v/>
      </c>
      <c r="S7" s="14">
        <f>SUM(S4:S6)</f>
        <v/>
      </c>
      <c r="T7" s="15">
        <f>SUM(T4:T6)</f>
        <v/>
      </c>
      <c r="U7" s="11">
        <f>+B7-E7-G7-Q7-S7-K7-I7-M7-O7</f>
        <v/>
      </c>
    </row>
    <row r="8" ht="15" customFormat="1" customHeight="1" s="2" thickBot="1">
      <c r="A8" s="52" t="inlineStr">
        <is>
          <t>Actual Amount</t>
        </is>
      </c>
      <c r="B8" s="53" t="n"/>
      <c r="C8" s="16" t="n"/>
      <c r="D8" s="17" t="n"/>
      <c r="E8" s="18" t="n"/>
      <c r="F8" s="19" t="n">
        <v>0</v>
      </c>
      <c r="G8" s="18" t="n"/>
      <c r="H8" s="19" t="n">
        <v>74028.73</v>
      </c>
      <c r="I8" s="18" t="n"/>
      <c r="J8" s="19" t="n">
        <v>14505</v>
      </c>
      <c r="K8" s="18" t="n"/>
      <c r="L8" s="19" t="n">
        <v>17778.89</v>
      </c>
      <c r="M8" s="20" t="n"/>
      <c r="N8" s="19" t="n">
        <v>64412.27</v>
      </c>
      <c r="O8" s="20" t="inlineStr"/>
      <c r="P8" s="19" t="n">
        <v>0</v>
      </c>
      <c r="Q8" s="18" t="n">
        <v>0</v>
      </c>
      <c r="R8" s="19" t="n">
        <v>129861</v>
      </c>
      <c r="S8" s="18" t="n"/>
      <c r="T8" s="19" t="n">
        <v>50970.72</v>
      </c>
      <c r="U8" s="17" t="n"/>
    </row>
    <row r="9" ht="15.6" customHeight="1" s="69" thickBot="1" thickTop="1">
      <c r="A9" s="48" t="inlineStr">
        <is>
          <t>Diffrence should be zero</t>
        </is>
      </c>
      <c r="B9" s="49" t="n"/>
      <c r="C9" s="49" t="n"/>
      <c r="D9" s="21" t="n"/>
      <c r="E9" s="21" t="n"/>
      <c r="F9" s="22">
        <f>+F7-F8</f>
        <v/>
      </c>
      <c r="G9" s="21" t="n"/>
      <c r="H9" s="22">
        <f>+H7-H8</f>
        <v/>
      </c>
      <c r="I9" s="21" t="n"/>
      <c r="J9" s="22">
        <f>+J7-J8</f>
        <v/>
      </c>
      <c r="K9" s="21" t="n"/>
      <c r="L9" s="22">
        <f>+L7-L8</f>
        <v/>
      </c>
      <c r="M9" s="22" t="n"/>
      <c r="N9" s="22">
        <f>+N7-N8</f>
        <v/>
      </c>
      <c r="O9" s="22" t="n"/>
      <c r="P9" s="22">
        <f>+P7-P8</f>
        <v/>
      </c>
      <c r="Q9" s="21" t="n"/>
      <c r="R9" s="22">
        <f>+R7-R8</f>
        <v/>
      </c>
      <c r="S9" s="21" t="n"/>
      <c r="T9" s="22">
        <f>+T7-T8</f>
        <v/>
      </c>
      <c r="U9" s="23" t="n"/>
    </row>
    <row r="10" ht="15" customHeight="1" s="69" thickTop="1">
      <c r="A10" s="24" t="n"/>
      <c r="B10" s="24" t="n">
        <v>0</v>
      </c>
      <c r="C10" s="24" t="n"/>
      <c r="D10" s="2" t="n"/>
      <c r="E10" s="2" t="n"/>
      <c r="F10" s="25" t="n"/>
      <c r="G10" s="2" t="n"/>
      <c r="H10" s="25" t="n"/>
      <c r="I10" s="2" t="n"/>
      <c r="J10" s="25" t="n"/>
      <c r="K10" s="2" t="n"/>
      <c r="L10" s="6" t="n"/>
      <c r="M10" s="2" t="n"/>
      <c r="N10" s="25" t="n"/>
      <c r="O10" s="25" t="n"/>
      <c r="P10" s="25" t="n"/>
      <c r="Q10" s="25" t="n"/>
      <c r="R10" s="25" t="n"/>
      <c r="S10" s="2" t="n"/>
      <c r="T10" s="25" t="n"/>
      <c r="U10" s="2" t="n"/>
    </row>
    <row r="11">
      <c r="A11" s="26" t="inlineStr">
        <is>
          <t>sales value diff</t>
        </is>
      </c>
      <c r="D11" s="27">
        <f>+D7-F8-H8-L8-J8-R8-T8-N8-P8</f>
        <v/>
      </c>
      <c r="F11" s="72" t="n"/>
      <c r="M11" s="72" t="n"/>
    </row>
    <row r="12">
      <c r="F12" s="72" t="n"/>
      <c r="G12" s="72" t="n"/>
      <c r="H12" s="29" t="inlineStr">
        <is>
          <t>Petrol</t>
        </is>
      </c>
      <c r="I12" s="29" t="inlineStr">
        <is>
          <t>Diesal</t>
        </is>
      </c>
      <c r="J12" s="29" t="inlineStr">
        <is>
          <t>Power</t>
        </is>
      </c>
    </row>
    <row r="13">
      <c r="A13" s="58" t="inlineStr">
        <is>
          <t>CREDIT DETAIL</t>
        </is>
      </c>
      <c r="B13" s="59" t="n"/>
      <c r="C13" s="59" t="n"/>
      <c r="D13" s="59" t="n"/>
      <c r="E13" s="59" t="n"/>
      <c r="F13" s="57" t="n"/>
      <c r="H13" s="79" t="n">
        <v>93783</v>
      </c>
      <c r="I13" s="80" t="n">
        <v>46275</v>
      </c>
      <c r="J13" s="79" t="n">
        <v>1589</v>
      </c>
    </row>
    <row r="14">
      <c r="A14" s="29" t="inlineStr">
        <is>
          <t>particular</t>
        </is>
      </c>
      <c r="B14" s="29" t="inlineStr">
        <is>
          <t xml:space="preserve">Type </t>
        </is>
      </c>
      <c r="C14" s="31" t="inlineStr">
        <is>
          <t>QTY</t>
        </is>
      </c>
      <c r="D14" s="31" t="inlineStr">
        <is>
          <t>RATE</t>
        </is>
      </c>
      <c r="E14" s="31" t="inlineStr">
        <is>
          <t>AMOUNT</t>
        </is>
      </c>
      <c r="F14" s="32" t="inlineStr">
        <is>
          <t>inv no</t>
        </is>
      </c>
      <c r="H14" s="79" t="n">
        <v>102162</v>
      </c>
      <c r="I14" s="80" t="n">
        <v>80368</v>
      </c>
      <c r="J14" s="79" t="n"/>
      <c r="K14" s="74" t="n"/>
      <c r="L14" s="74" t="n"/>
      <c r="M14" s="74" t="n"/>
    </row>
    <row r="15">
      <c r="A15" s="33" t="inlineStr">
        <is>
          <t>Piploda</t>
        </is>
      </c>
      <c r="B15" s="34" t="inlineStr">
        <is>
          <t>diesal</t>
        </is>
      </c>
      <c r="C15" s="29">
        <f>+E15/D15</f>
        <v/>
      </c>
      <c r="D15" s="79">
        <f>+VLOOKUP(B15,A$4:C$6,3,0)</f>
        <v/>
      </c>
      <c r="E15" s="81" t="n">
        <v>22059.05</v>
      </c>
      <c r="F15" s="34" t="n">
        <v>21339</v>
      </c>
      <c r="H15" s="80" t="n"/>
      <c r="I15" s="80" t="n">
        <v>27379</v>
      </c>
      <c r="J15" s="80" t="n"/>
      <c r="K15" s="72" t="n"/>
    </row>
    <row r="16">
      <c r="A16" s="33" t="inlineStr">
        <is>
          <t>mk Soler</t>
        </is>
      </c>
      <c r="B16" s="34" t="inlineStr">
        <is>
          <t>diesal</t>
        </is>
      </c>
      <c r="C16" s="29">
        <f>+E16/D16</f>
        <v/>
      </c>
      <c r="D16" s="79">
        <f>+VLOOKUP(B16,A$4:C$6,3,0)</f>
        <v/>
      </c>
      <c r="E16" s="81" t="n">
        <v>2849.73</v>
      </c>
      <c r="F16" s="34" t="n">
        <v>21340</v>
      </c>
      <c r="H16" s="79">
        <f>+H24/C4</f>
        <v/>
      </c>
      <c r="I16" s="43">
        <f>+I24/C5</f>
        <v/>
      </c>
      <c r="J16" s="43">
        <f>+J24/C6</f>
        <v/>
      </c>
      <c r="K16" s="72" t="n"/>
      <c r="M16" s="72" t="n"/>
    </row>
    <row r="17">
      <c r="A17" s="33" t="inlineStr">
        <is>
          <t>Sitaram Yadav</t>
        </is>
      </c>
      <c r="B17" s="34" t="inlineStr">
        <is>
          <t>diesal</t>
        </is>
      </c>
      <c r="C17" s="29">
        <f>+E17/D17</f>
        <v/>
      </c>
      <c r="D17" s="79">
        <f>+VLOOKUP(B17,A$4:C$6,3,0)</f>
        <v/>
      </c>
      <c r="E17" s="82" t="n">
        <v>22999.94</v>
      </c>
      <c r="F17" s="34" t="n">
        <v>21341</v>
      </c>
      <c r="H17" s="72" t="n"/>
      <c r="K17" s="72" t="n"/>
    </row>
    <row r="18">
      <c r="A18" s="33" t="n"/>
      <c r="B18" s="34" t="inlineStr">
        <is>
          <t>diesal</t>
        </is>
      </c>
      <c r="C18" s="29">
        <f>+E18/D18</f>
        <v/>
      </c>
      <c r="D18" s="79">
        <f>+VLOOKUP(B18,A$4:C$6,3,0)</f>
        <v/>
      </c>
      <c r="E18" s="82" t="n"/>
      <c r="F18" s="34" t="n"/>
    </row>
    <row r="19">
      <c r="A19" s="33" t="n"/>
      <c r="B19" s="34" t="inlineStr">
        <is>
          <t>diesal</t>
        </is>
      </c>
      <c r="C19" s="29">
        <f>+E19/D19</f>
        <v/>
      </c>
      <c r="D19" s="79">
        <f>+VLOOKUP(B19,A$4:C$6,3,0)</f>
        <v/>
      </c>
      <c r="E19" s="82" t="n"/>
      <c r="F19" s="39" t="n"/>
      <c r="K19" s="72" t="n"/>
      <c r="M19" s="72" t="n"/>
    </row>
    <row r="20">
      <c r="A20" s="33" t="n"/>
      <c r="B20" s="34" t="inlineStr">
        <is>
          <t>diesal</t>
        </is>
      </c>
      <c r="C20" s="29">
        <f>+E20/D20</f>
        <v/>
      </c>
      <c r="D20" s="79">
        <f>+VLOOKUP(B20,A$4:C$6,3,0)</f>
        <v/>
      </c>
      <c r="E20" s="82" t="n"/>
      <c r="F20" s="79" t="n"/>
      <c r="K20" s="72" t="n"/>
    </row>
    <row r="21">
      <c r="A21" s="33" t="n"/>
      <c r="B21" s="34" t="inlineStr">
        <is>
          <t>diesal</t>
        </is>
      </c>
      <c r="C21" s="29">
        <f>+E21/D21</f>
        <v/>
      </c>
      <c r="D21" s="79">
        <f>+VLOOKUP(B21,A$4:C$6,3,0)</f>
        <v/>
      </c>
      <c r="E21" s="82" t="n"/>
      <c r="F21" s="35" t="n"/>
      <c r="H21" s="71" t="n"/>
      <c r="K21" s="72" t="n"/>
      <c r="M21" s="72" t="n"/>
    </row>
    <row r="22">
      <c r="A22" s="33" t="n"/>
      <c r="B22" s="34" t="inlineStr">
        <is>
          <t>diesal</t>
        </is>
      </c>
      <c r="C22" s="29">
        <f>+E22/D22</f>
        <v/>
      </c>
      <c r="D22" s="79">
        <f>+VLOOKUP(B22,A$4:C$6,3,0)</f>
        <v/>
      </c>
      <c r="E22" s="82" t="n"/>
      <c r="F22" s="79" t="n"/>
    </row>
    <row r="23">
      <c r="A23" s="34" t="n"/>
      <c r="B23" s="34" t="inlineStr">
        <is>
          <t>diesal</t>
        </is>
      </c>
      <c r="C23" s="29">
        <f>+E23/D23</f>
        <v/>
      </c>
      <c r="D23" s="79">
        <f>+VLOOKUP(B23,A$4:C$6,3,0)</f>
        <v/>
      </c>
      <c r="E23" s="82" t="n"/>
      <c r="F23" s="79" t="n"/>
    </row>
    <row r="24">
      <c r="A24" s="34" t="n"/>
      <c r="B24" s="34" t="inlineStr">
        <is>
          <t>diesal</t>
        </is>
      </c>
      <c r="C24" s="29">
        <f>+E24/D24</f>
        <v/>
      </c>
      <c r="D24" s="79">
        <f>+VLOOKUP(B24,A$4:C$6,3,0)</f>
        <v/>
      </c>
      <c r="E24" s="29" t="n"/>
      <c r="F24" s="79" t="n"/>
      <c r="H24" s="72" t="n"/>
      <c r="I24" s="72" t="n"/>
      <c r="J24" s="72" t="n"/>
    </row>
    <row r="25">
      <c r="A25" s="34" t="n"/>
      <c r="B25" s="34" t="inlineStr">
        <is>
          <t>diesal</t>
        </is>
      </c>
      <c r="C25" s="29">
        <f>+E25/D25</f>
        <v/>
      </c>
      <c r="D25" s="79">
        <f>+VLOOKUP(B25,A$4:C$6,3,0)</f>
        <v/>
      </c>
      <c r="E25" s="29" t="n"/>
      <c r="F25" s="79" t="n"/>
      <c r="H25" s="72" t="n"/>
    </row>
    <row r="26">
      <c r="A26" s="79" t="n"/>
      <c r="B26" s="79" t="n"/>
      <c r="C26" s="29">
        <f>SUM(C15:C25)</f>
        <v/>
      </c>
      <c r="D26" s="29" t="n"/>
      <c r="E26" s="29">
        <f>SUM(E15:E25)</f>
        <v/>
      </c>
      <c r="F26" s="79" t="n"/>
    </row>
    <row r="50">
      <c r="E50" t="n">
        <v>9</v>
      </c>
    </row>
  </sheetData>
  <mergeCells count="16">
    <mergeCell ref="O2:P2"/>
    <mergeCell ref="M2:N2"/>
    <mergeCell ref="S2:T2"/>
    <mergeCell ref="Q2:R2"/>
    <mergeCell ref="A13:F13"/>
    <mergeCell ref="G2:H2"/>
    <mergeCell ref="E2:F2"/>
    <mergeCell ref="K2:L2"/>
    <mergeCell ref="I2:J2"/>
    <mergeCell ref="U2:U3"/>
    <mergeCell ref="C2:C3"/>
    <mergeCell ref="A9:C9"/>
    <mergeCell ref="B2:B3"/>
    <mergeCell ref="A2:A3"/>
    <mergeCell ref="D2:D3"/>
    <mergeCell ref="A8:B8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X50"/>
  <sheetViews>
    <sheetView workbookViewId="0">
      <selection activeCell="A1" sqref="A1"/>
    </sheetView>
  </sheetViews>
  <sheetFormatPr baseColWidth="8" defaultColWidth="9.109375" defaultRowHeight="14.4"/>
  <cols>
    <col width="13.109375" customWidth="1" style="69" min="1" max="1"/>
    <col width="12" customWidth="1" style="69" min="2" max="2"/>
    <col width="12" customWidth="1" style="69" min="4" max="4"/>
    <col width="13.109375" customWidth="1" style="69" min="5" max="5"/>
    <col width="14" customWidth="1" style="69" min="6" max="6"/>
    <col width="10.109375" customWidth="1" style="69" min="7" max="7"/>
    <col width="10.6640625" customWidth="1" style="69" min="8" max="8"/>
    <col width="9.5546875" customWidth="1" style="69" min="9" max="9"/>
    <col width="10.6640625" customWidth="1" style="69" min="10" max="14"/>
    <col width="13.44140625" customWidth="1" style="69" min="15" max="15"/>
    <col width="11.88671875" customWidth="1" style="69" min="16" max="16"/>
    <col width="10.6640625" customWidth="1" style="69" min="18" max="18"/>
    <col width="9.5546875" customWidth="1" style="69" min="19" max="19"/>
    <col width="10.6640625" customWidth="1" style="69" min="20" max="20"/>
    <col width="9.6640625" customWidth="1" style="69" min="21" max="21"/>
    <col width="12.5546875" customWidth="1" style="69" min="23" max="23"/>
    <col width="12" customWidth="1" style="69" min="24" max="24"/>
  </cols>
  <sheetData>
    <row r="1" ht="18.6" customHeight="1" s="69"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</row>
    <row r="2" ht="18.6" customHeight="1" s="69">
      <c r="A2" s="47" t="inlineStr">
        <is>
          <t>Particular</t>
        </is>
      </c>
      <c r="B2" s="47" t="inlineStr">
        <is>
          <t>Qty</t>
        </is>
      </c>
      <c r="C2" s="47" t="inlineStr">
        <is>
          <t>Rate</t>
        </is>
      </c>
      <c r="D2" s="50" t="inlineStr">
        <is>
          <t>Amount</t>
        </is>
      </c>
      <c r="E2" s="56" t="inlineStr">
        <is>
          <t>Pos SBI</t>
        </is>
      </c>
      <c r="F2" s="57" t="n"/>
      <c r="G2" s="56" t="inlineStr">
        <is>
          <t>Paytm</t>
        </is>
      </c>
      <c r="H2" s="57" t="n"/>
      <c r="I2" s="56" t="inlineStr">
        <is>
          <t>HP Card</t>
        </is>
      </c>
      <c r="J2" s="57" t="n"/>
      <c r="K2" s="56" t="inlineStr">
        <is>
          <t>ICICI</t>
        </is>
      </c>
      <c r="L2" s="57" t="n"/>
      <c r="M2" s="56" t="inlineStr">
        <is>
          <t>phone pe</t>
        </is>
      </c>
      <c r="N2" s="57" t="n"/>
      <c r="O2" s="54" t="inlineStr">
        <is>
          <t>mobiquick</t>
        </is>
      </c>
      <c r="P2" s="55" t="n"/>
      <c r="Q2" s="56" t="inlineStr">
        <is>
          <t xml:space="preserve">CASH </t>
        </is>
      </c>
      <c r="R2" s="57" t="n"/>
      <c r="S2" s="56" t="inlineStr">
        <is>
          <t>Credit</t>
        </is>
      </c>
      <c r="T2" s="57" t="n"/>
      <c r="U2" s="45" t="inlineStr">
        <is>
          <t>Qty Diffrence</t>
        </is>
      </c>
      <c r="W2" s="2" t="n"/>
      <c r="X2" s="2" t="n"/>
    </row>
    <row r="3" ht="18.6" customHeight="1" s="69">
      <c r="A3" s="46" t="n"/>
      <c r="B3" s="46" t="n"/>
      <c r="C3" s="46" t="n"/>
      <c r="D3" s="51" t="n"/>
      <c r="E3" s="56" t="inlineStr">
        <is>
          <t>Qty</t>
        </is>
      </c>
      <c r="F3" s="41" t="inlineStr">
        <is>
          <t>Amount</t>
        </is>
      </c>
      <c r="G3" s="56" t="inlineStr">
        <is>
          <t>Qty</t>
        </is>
      </c>
      <c r="H3" s="41" t="inlineStr">
        <is>
          <t>Amount</t>
        </is>
      </c>
      <c r="I3" s="56" t="inlineStr">
        <is>
          <t>Qty</t>
        </is>
      </c>
      <c r="J3" s="41" t="inlineStr">
        <is>
          <t>Amount</t>
        </is>
      </c>
      <c r="K3" s="56" t="inlineStr">
        <is>
          <t>Qty</t>
        </is>
      </c>
      <c r="L3" s="41" t="inlineStr">
        <is>
          <t>Amount</t>
        </is>
      </c>
      <c r="M3" s="56" t="inlineStr">
        <is>
          <t>Qty</t>
        </is>
      </c>
      <c r="N3" s="41" t="inlineStr">
        <is>
          <t>Amount</t>
        </is>
      </c>
      <c r="O3" s="56" t="inlineStr">
        <is>
          <t>Qty</t>
        </is>
      </c>
      <c r="P3" s="41" t="inlineStr">
        <is>
          <t>Amount</t>
        </is>
      </c>
      <c r="Q3" s="56" t="inlineStr">
        <is>
          <t>Qty</t>
        </is>
      </c>
      <c r="R3" s="41" t="inlineStr">
        <is>
          <t>Amount</t>
        </is>
      </c>
      <c r="S3" s="56" t="inlineStr">
        <is>
          <t>Qty</t>
        </is>
      </c>
      <c r="T3" s="41" t="inlineStr">
        <is>
          <t>Amount</t>
        </is>
      </c>
      <c r="U3" s="46" t="n"/>
      <c r="W3" s="2" t="inlineStr">
        <is>
          <t>diesal</t>
        </is>
      </c>
      <c r="X3" s="2">
        <f>+SUMIFS(C15:C25,B15:B25,W3)</f>
        <v/>
      </c>
    </row>
    <row r="4" customFormat="1" s="2">
      <c r="A4" s="3" t="inlineStr">
        <is>
          <t>Petrol</t>
        </is>
      </c>
      <c r="B4" s="12">
        <f>+(H13+H14+H15)/$C$4</f>
        <v/>
      </c>
      <c r="C4" s="4" t="n">
        <v>104.71</v>
      </c>
      <c r="D4" s="5">
        <f>B4*C4</f>
        <v/>
      </c>
      <c r="E4" s="6" t="n">
        <v>0</v>
      </c>
      <c r="F4" s="7">
        <f>+E4*C4</f>
        <v/>
      </c>
      <c r="G4" s="9">
        <f>+(H8*60%)/$C$4</f>
        <v/>
      </c>
      <c r="H4" s="7">
        <f>+G4*C4</f>
        <v/>
      </c>
      <c r="I4" s="6">
        <f>J4/C4</f>
        <v/>
      </c>
      <c r="J4" s="7" t="n">
        <v>0</v>
      </c>
      <c r="K4" s="8">
        <f>+L8/$C$4</f>
        <v/>
      </c>
      <c r="L4" s="7">
        <f>+K4*C4</f>
        <v/>
      </c>
      <c r="M4" s="9">
        <f>+(N8*60%)/$C$4</f>
        <v/>
      </c>
      <c r="N4" s="7">
        <f>+M4*C4</f>
        <v/>
      </c>
      <c r="O4" s="9" t="n"/>
      <c r="P4" s="7">
        <f>+O4*C4</f>
        <v/>
      </c>
      <c r="Q4" s="6" t="n">
        <v>748.9639957979183</v>
      </c>
      <c r="R4" s="7">
        <f>+Q4*C4</f>
        <v/>
      </c>
      <c r="S4" s="10">
        <f>+X4</f>
        <v/>
      </c>
      <c r="T4" s="7">
        <f>+S4*C4</f>
        <v/>
      </c>
      <c r="U4" s="11">
        <f>+B4-E4-G4-Q4-S4-K4-I4-M4-O4</f>
        <v/>
      </c>
      <c r="W4" t="inlineStr">
        <is>
          <t>petrol</t>
        </is>
      </c>
      <c r="X4" s="2">
        <f>+SUMIFS(C15:C26,B15:B26,W4)</f>
        <v/>
      </c>
    </row>
    <row r="5" customFormat="1" s="2">
      <c r="A5" s="3" t="inlineStr">
        <is>
          <t>Diesal</t>
        </is>
      </c>
      <c r="B5" s="12">
        <f>+(I13+I14+I15)/$C$5</f>
        <v/>
      </c>
      <c r="C5" s="4" t="n">
        <v>90.20999999999999</v>
      </c>
      <c r="D5" s="5">
        <f>B5*C5</f>
        <v/>
      </c>
      <c r="E5" s="6" t="n">
        <v>0</v>
      </c>
      <c r="F5" s="7">
        <f>+E5*C5</f>
        <v/>
      </c>
      <c r="G5" s="6">
        <f>+(H8*40%)/$C$5</f>
        <v/>
      </c>
      <c r="H5" s="7">
        <f>+G5*C5</f>
        <v/>
      </c>
      <c r="I5" s="6">
        <f>+J8/C5</f>
        <v/>
      </c>
      <c r="J5" s="7">
        <f>+I5*C5</f>
        <v/>
      </c>
      <c r="K5" s="6" t="n">
        <v>0</v>
      </c>
      <c r="L5" s="7">
        <f>+K5*C5</f>
        <v/>
      </c>
      <c r="M5" s="6">
        <f>+(N8*40%)/$C$5</f>
        <v/>
      </c>
      <c r="N5" s="7">
        <f>+M5*C5</f>
        <v/>
      </c>
      <c r="O5" s="9">
        <f>+P8/C5</f>
        <v/>
      </c>
      <c r="P5" s="7">
        <f>+O5*C5</f>
        <v/>
      </c>
      <c r="Q5" s="6" t="n">
        <v>711.080700587518</v>
      </c>
      <c r="R5" s="7">
        <f>+Q5*C5</f>
        <v/>
      </c>
      <c r="S5" s="10">
        <f>+X3</f>
        <v/>
      </c>
      <c r="T5" s="7">
        <f>+S5*C5</f>
        <v/>
      </c>
      <c r="U5" s="11">
        <f>+B5-E5-G5-Q5-S5-K5-I5-M5-O5</f>
        <v/>
      </c>
      <c r="W5" t="inlineStr">
        <is>
          <t>Petrol Power</t>
        </is>
      </c>
      <c r="X5" s="2">
        <f>+SUMIFS(C17:C27,B17:B27,W5)</f>
        <v/>
      </c>
    </row>
    <row r="6" customFormat="1" s="2">
      <c r="A6" s="3" t="inlineStr">
        <is>
          <t>Petrol Power</t>
        </is>
      </c>
      <c r="B6" s="12">
        <f>+(J13+J14+J15)/$C$6</f>
        <v/>
      </c>
      <c r="C6" s="4" t="n">
        <v>112.8</v>
      </c>
      <c r="D6" s="5">
        <f>B6*C6</f>
        <v/>
      </c>
      <c r="E6" s="6" t="n">
        <v>0</v>
      </c>
      <c r="F6" s="7">
        <f>+E6*C6</f>
        <v/>
      </c>
      <c r="G6" s="6" t="n"/>
      <c r="H6" s="7">
        <f>+G6*C6</f>
        <v/>
      </c>
      <c r="I6" s="6" t="n">
        <v>0</v>
      </c>
      <c r="J6" s="7">
        <f>+I6*C6</f>
        <v/>
      </c>
      <c r="K6" s="6" t="n">
        <v>0</v>
      </c>
      <c r="L6" s="7">
        <f>+K6*C6</f>
        <v/>
      </c>
      <c r="M6" s="9" t="n">
        <v>0</v>
      </c>
      <c r="N6" s="7">
        <f>+M6*C6</f>
        <v/>
      </c>
      <c r="O6" s="9" t="n"/>
      <c r="P6" s="7">
        <f>+O6*C6</f>
        <v/>
      </c>
      <c r="Q6" s="6" t="n">
        <v>42.56205673758866</v>
      </c>
      <c r="R6" s="7">
        <f>+Q6*C6</f>
        <v/>
      </c>
      <c r="S6" s="10">
        <f>+X5</f>
        <v/>
      </c>
      <c r="T6" s="7">
        <f>+S6*C6</f>
        <v/>
      </c>
      <c r="U6" s="11">
        <f>+B6-E6-G6-Q6-S6-K6-I6-M6-O6</f>
        <v/>
      </c>
    </row>
    <row r="7" customFormat="1" s="2">
      <c r="A7" s="3" t="n"/>
      <c r="B7" s="38">
        <f>SUM(B4:B6)</f>
        <v/>
      </c>
      <c r="C7" s="3" t="n"/>
      <c r="D7" s="13">
        <f>SUM(D4:D6)</f>
        <v/>
      </c>
      <c r="E7" s="14">
        <f>SUM(E4:E6)</f>
        <v/>
      </c>
      <c r="F7" s="15">
        <f>SUM(F4:F6)</f>
        <v/>
      </c>
      <c r="G7" s="14">
        <f>SUM(G4:G6)</f>
        <v/>
      </c>
      <c r="H7" s="15">
        <f>SUM(H4:H6)</f>
        <v/>
      </c>
      <c r="I7" s="14">
        <f>SUM(I4:I6)</f>
        <v/>
      </c>
      <c r="J7" s="15">
        <f>SUM(J4:J6)</f>
        <v/>
      </c>
      <c r="K7" s="14">
        <f>SUM(K4:K6)</f>
        <v/>
      </c>
      <c r="L7" s="15">
        <f>SUM(L4:L6)</f>
        <v/>
      </c>
      <c r="M7" s="14">
        <f>SUM(M4:M6)</f>
        <v/>
      </c>
      <c r="N7" s="15">
        <f>SUM(N4:N6)</f>
        <v/>
      </c>
      <c r="O7" s="14">
        <f>SUM(O4:O6)</f>
        <v/>
      </c>
      <c r="P7" s="15">
        <f>SUM(P4:P6)</f>
        <v/>
      </c>
      <c r="Q7" s="14">
        <f>SUM(Q4:Q6)</f>
        <v/>
      </c>
      <c r="R7" s="15">
        <f>SUM(R4:R6)</f>
        <v/>
      </c>
      <c r="S7" s="14">
        <f>SUM(S4:S6)</f>
        <v/>
      </c>
      <c r="T7" s="15">
        <f>SUM(T4:T6)</f>
        <v/>
      </c>
      <c r="U7" s="11">
        <f>+B7-E7-G7-Q7-S7-K7-I7-M7-O7</f>
        <v/>
      </c>
    </row>
    <row r="8" ht="15" customFormat="1" customHeight="1" s="2" thickBot="1">
      <c r="A8" s="52" t="inlineStr">
        <is>
          <t>Actual Amount</t>
        </is>
      </c>
      <c r="B8" s="53" t="n"/>
      <c r="C8" s="16" t="n"/>
      <c r="D8" s="17" t="n"/>
      <c r="E8" s="18" t="n"/>
      <c r="F8" s="19" t="n">
        <v>0</v>
      </c>
      <c r="G8" s="18" t="n"/>
      <c r="H8" s="19" t="n">
        <v>64508.37</v>
      </c>
      <c r="I8" s="18" t="n"/>
      <c r="J8" s="19" t="n">
        <v>5000</v>
      </c>
      <c r="K8" s="18" t="n"/>
      <c r="L8" s="19" t="n">
        <v>24785.42</v>
      </c>
      <c r="M8" s="20" t="n"/>
      <c r="N8" s="19" t="n">
        <v>87844.23</v>
      </c>
      <c r="O8" s="20" t="inlineStr"/>
      <c r="P8" s="19" t="n">
        <v>0</v>
      </c>
      <c r="Q8" s="18" t="n">
        <v>0</v>
      </c>
      <c r="R8" s="19" t="n">
        <v>135008</v>
      </c>
      <c r="S8" s="18" t="n"/>
      <c r="T8" s="19" t="n">
        <v>62403.66</v>
      </c>
      <c r="U8" s="17" t="n"/>
    </row>
    <row r="9" ht="15.6" customHeight="1" s="69" thickBot="1" thickTop="1">
      <c r="A9" s="48" t="inlineStr">
        <is>
          <t>Diffrence should be zero</t>
        </is>
      </c>
      <c r="B9" s="49" t="n"/>
      <c r="C9" s="49" t="n"/>
      <c r="D9" s="21" t="n"/>
      <c r="E9" s="21" t="n"/>
      <c r="F9" s="22">
        <f>+F7-F8</f>
        <v/>
      </c>
      <c r="G9" s="21" t="n"/>
      <c r="H9" s="22">
        <f>+H7-H8</f>
        <v/>
      </c>
      <c r="I9" s="21" t="n"/>
      <c r="J9" s="22">
        <f>+J7-J8</f>
        <v/>
      </c>
      <c r="K9" s="21" t="n"/>
      <c r="L9" s="22">
        <f>+L7-L8</f>
        <v/>
      </c>
      <c r="M9" s="22" t="n"/>
      <c r="N9" s="22">
        <f>+N7-N8</f>
        <v/>
      </c>
      <c r="O9" s="22" t="n"/>
      <c r="P9" s="22">
        <f>+P7-P8</f>
        <v/>
      </c>
      <c r="Q9" s="21" t="n"/>
      <c r="R9" s="22">
        <f>+R7-R8</f>
        <v/>
      </c>
      <c r="S9" s="21" t="n"/>
      <c r="T9" s="22">
        <f>+T7-T8</f>
        <v/>
      </c>
      <c r="U9" s="23" t="n"/>
    </row>
    <row r="10" ht="15" customHeight="1" s="69" thickTop="1">
      <c r="A10" s="24" t="n"/>
      <c r="B10" s="24" t="n">
        <v>0</v>
      </c>
      <c r="C10" s="24" t="n"/>
      <c r="D10" s="2" t="n"/>
      <c r="E10" s="2" t="n"/>
      <c r="F10" s="25" t="n"/>
      <c r="G10" s="2" t="n"/>
      <c r="H10" s="25" t="n"/>
      <c r="I10" s="2" t="n"/>
      <c r="J10" s="25" t="n"/>
      <c r="K10" s="2" t="n"/>
      <c r="L10" s="6" t="n"/>
      <c r="M10" s="2" t="n"/>
      <c r="N10" s="25" t="n"/>
      <c r="O10" s="25" t="n"/>
      <c r="P10" s="25" t="n"/>
      <c r="Q10" s="25" t="n"/>
      <c r="R10" s="25" t="n"/>
      <c r="S10" s="2" t="n"/>
      <c r="T10" s="25" t="n"/>
      <c r="U10" s="2" t="n"/>
    </row>
    <row r="11">
      <c r="A11" s="26" t="inlineStr">
        <is>
          <t>sales value diff</t>
        </is>
      </c>
      <c r="D11" s="27">
        <f>+D7-F8-H8-L8-J8-R8-T8-N8-P8</f>
        <v/>
      </c>
      <c r="F11" s="72" t="n"/>
      <c r="M11" s="72" t="n"/>
    </row>
    <row r="12">
      <c r="F12" s="72" t="n"/>
      <c r="G12" s="72" t="n"/>
      <c r="H12" s="29" t="inlineStr">
        <is>
          <t>Petrol</t>
        </is>
      </c>
      <c r="I12" s="29" t="inlineStr">
        <is>
          <t>Diesal</t>
        </is>
      </c>
      <c r="J12" s="29" t="inlineStr">
        <is>
          <t>Power</t>
        </is>
      </c>
    </row>
    <row r="13">
      <c r="A13" s="58" t="inlineStr">
        <is>
          <t>CREDIT DETAIL</t>
        </is>
      </c>
      <c r="B13" s="59" t="n"/>
      <c r="C13" s="59" t="n"/>
      <c r="D13" s="59" t="n"/>
      <c r="E13" s="59" t="n"/>
      <c r="F13" s="57" t="n"/>
      <c r="H13" s="79" t="n">
        <v>83717</v>
      </c>
      <c r="I13" s="80" t="n">
        <v>56175</v>
      </c>
      <c r="J13" s="79" t="n">
        <v>4801</v>
      </c>
    </row>
    <row r="14">
      <c r="A14" s="29" t="inlineStr">
        <is>
          <t>particular</t>
        </is>
      </c>
      <c r="B14" s="29" t="inlineStr">
        <is>
          <t xml:space="preserve">Type </t>
        </is>
      </c>
      <c r="C14" s="31" t="inlineStr">
        <is>
          <t>QTY</t>
        </is>
      </c>
      <c r="D14" s="31" t="inlineStr">
        <is>
          <t>RATE</t>
        </is>
      </c>
      <c r="E14" s="31" t="inlineStr">
        <is>
          <t>AMOUNT</t>
        </is>
      </c>
      <c r="F14" s="32" t="inlineStr">
        <is>
          <t>inv no</t>
        </is>
      </c>
      <c r="H14" s="79" t="n">
        <v>110904</v>
      </c>
      <c r="I14" s="80" t="n">
        <v>34960</v>
      </c>
      <c r="J14" s="79" t="n"/>
      <c r="K14" s="74" t="n"/>
      <c r="L14" s="74" t="n"/>
      <c r="M14" s="74" t="n"/>
    </row>
    <row r="15">
      <c r="A15" s="33" t="inlineStr">
        <is>
          <t>mool Chand yadav</t>
        </is>
      </c>
      <c r="B15" s="34" t="inlineStr">
        <is>
          <t>diesal</t>
        </is>
      </c>
      <c r="C15" s="29">
        <f>+E15/D15</f>
        <v/>
      </c>
      <c r="D15" s="79">
        <f>+VLOOKUP(B15,A$4:C$6,3,0)</f>
        <v/>
      </c>
      <c r="E15" s="81" t="n">
        <v>18640.09</v>
      </c>
      <c r="F15" s="34" t="n">
        <v>21347</v>
      </c>
      <c r="H15" s="80" t="n"/>
      <c r="I15" s="80" t="n">
        <v>88993</v>
      </c>
      <c r="J15" s="80" t="n"/>
      <c r="K15" s="72" t="n"/>
    </row>
    <row r="16">
      <c r="A16" s="33" t="inlineStr">
        <is>
          <t>Sitaram Yadav</t>
        </is>
      </c>
      <c r="B16" s="34" t="inlineStr">
        <is>
          <t>diesal</t>
        </is>
      </c>
      <c r="C16" s="29">
        <f>+E16/D16</f>
        <v/>
      </c>
      <c r="D16" s="79">
        <f>+VLOOKUP(B16,A$4:C$6,3,0)</f>
        <v/>
      </c>
      <c r="E16" s="81" t="n">
        <v>22750.05</v>
      </c>
      <c r="F16" s="34" t="n">
        <v>21348</v>
      </c>
      <c r="H16" s="79">
        <f>+H24/C4</f>
        <v/>
      </c>
      <c r="I16" s="43">
        <f>+I24/C5</f>
        <v/>
      </c>
      <c r="J16" s="43">
        <f>+J24/C6</f>
        <v/>
      </c>
      <c r="K16" s="72" t="n"/>
      <c r="M16" s="72" t="n"/>
    </row>
    <row r="17">
      <c r="A17" s="33" t="inlineStr">
        <is>
          <t>Yadav (name unclear)</t>
        </is>
      </c>
      <c r="B17" s="34" t="inlineStr">
        <is>
          <t>diesal</t>
        </is>
      </c>
      <c r="C17" s="29">
        <f>+E17/D17</f>
        <v/>
      </c>
      <c r="D17" s="79">
        <f>+VLOOKUP(B17,A$4:C$6,3,0)</f>
        <v/>
      </c>
      <c r="E17" s="82" t="n">
        <v>8650.23</v>
      </c>
      <c r="F17" s="34" t="n">
        <v>21349</v>
      </c>
      <c r="H17" s="72" t="n"/>
      <c r="K17" s="72" t="n"/>
    </row>
    <row r="18">
      <c r="A18" s="33" t="n"/>
      <c r="B18" s="34" t="inlineStr">
        <is>
          <t>diesal</t>
        </is>
      </c>
      <c r="C18" s="29">
        <f>+E18/D18</f>
        <v/>
      </c>
      <c r="D18" s="79">
        <f>+VLOOKUP(B18,A$4:C$6,3,0)</f>
        <v/>
      </c>
      <c r="E18" s="82" t="n"/>
      <c r="F18" s="34" t="n"/>
    </row>
    <row r="19">
      <c r="A19" s="33" t="n"/>
      <c r="B19" s="34" t="inlineStr">
        <is>
          <t>diesal</t>
        </is>
      </c>
      <c r="C19" s="29">
        <f>+E19/D19</f>
        <v/>
      </c>
      <c r="D19" s="79">
        <f>+VLOOKUP(B19,A$4:C$6,3,0)</f>
        <v/>
      </c>
      <c r="E19" s="82" t="n"/>
      <c r="F19" s="39" t="n"/>
      <c r="K19" s="72" t="n"/>
      <c r="M19" s="72" t="n"/>
    </row>
    <row r="20">
      <c r="A20" s="33" t="n"/>
      <c r="B20" s="34" t="inlineStr">
        <is>
          <t>diesal</t>
        </is>
      </c>
      <c r="C20" s="29">
        <f>+E20/D20</f>
        <v/>
      </c>
      <c r="D20" s="79">
        <f>+VLOOKUP(B20,A$4:C$6,3,0)</f>
        <v/>
      </c>
      <c r="E20" s="82" t="n"/>
      <c r="F20" s="79" t="n"/>
      <c r="K20" s="72" t="n"/>
    </row>
    <row r="21">
      <c r="A21" s="33" t="n"/>
      <c r="B21" s="34" t="inlineStr">
        <is>
          <t>diesal</t>
        </is>
      </c>
      <c r="C21" s="29">
        <f>+E21/D21</f>
        <v/>
      </c>
      <c r="D21" s="79">
        <f>+VLOOKUP(B21,A$4:C$6,3,0)</f>
        <v/>
      </c>
      <c r="E21" s="82" t="n"/>
      <c r="F21" s="35" t="n"/>
      <c r="H21" s="71" t="n"/>
      <c r="K21" s="72" t="n"/>
      <c r="M21" s="72" t="n"/>
    </row>
    <row r="22">
      <c r="A22" s="33" t="n"/>
      <c r="B22" s="34" t="inlineStr">
        <is>
          <t>diesal</t>
        </is>
      </c>
      <c r="C22" s="29">
        <f>+E22/D22</f>
        <v/>
      </c>
      <c r="D22" s="79">
        <f>+VLOOKUP(B22,A$4:C$6,3,0)</f>
        <v/>
      </c>
      <c r="E22" s="82" t="n"/>
      <c r="F22" s="79" t="n"/>
    </row>
    <row r="23">
      <c r="A23" s="34" t="n"/>
      <c r="B23" s="34" t="inlineStr">
        <is>
          <t>diesal</t>
        </is>
      </c>
      <c r="C23" s="29">
        <f>+E23/D23</f>
        <v/>
      </c>
      <c r="D23" s="79">
        <f>+VLOOKUP(B23,A$4:C$6,3,0)</f>
        <v/>
      </c>
      <c r="E23" s="82" t="n"/>
      <c r="F23" s="79" t="n"/>
    </row>
    <row r="24">
      <c r="A24" s="34" t="n"/>
      <c r="B24" s="34" t="inlineStr">
        <is>
          <t>diesal</t>
        </is>
      </c>
      <c r="C24" s="29">
        <f>+E24/D24</f>
        <v/>
      </c>
      <c r="D24" s="79">
        <f>+VLOOKUP(B24,A$4:C$6,3,0)</f>
        <v/>
      </c>
      <c r="E24" s="29" t="n"/>
      <c r="F24" s="79" t="n"/>
      <c r="H24" s="72" t="n"/>
      <c r="I24" s="72" t="n"/>
      <c r="J24" s="72" t="n"/>
    </row>
    <row r="25">
      <c r="A25" s="34" t="n"/>
      <c r="B25" s="34" t="inlineStr">
        <is>
          <t>diesal</t>
        </is>
      </c>
      <c r="C25" s="29">
        <f>+E25/D25</f>
        <v/>
      </c>
      <c r="D25" s="79">
        <f>+VLOOKUP(B25,A$4:C$6,3,0)</f>
        <v/>
      </c>
      <c r="E25" s="29" t="n"/>
      <c r="F25" s="79" t="n"/>
      <c r="H25" s="72" t="n"/>
    </row>
    <row r="26">
      <c r="A26" s="79" t="n"/>
      <c r="B26" s="79" t="n"/>
      <c r="C26" s="29">
        <f>SUM(C15:C25)</f>
        <v/>
      </c>
      <c r="D26" s="29" t="n"/>
      <c r="E26" s="29">
        <f>SUM(E15:E25)</f>
        <v/>
      </c>
      <c r="F26" s="79" t="n"/>
    </row>
    <row r="50">
      <c r="E50" t="n">
        <v>9</v>
      </c>
    </row>
  </sheetData>
  <mergeCells count="16">
    <mergeCell ref="O2:P2"/>
    <mergeCell ref="M2:N2"/>
    <mergeCell ref="S2:T2"/>
    <mergeCell ref="Q2:R2"/>
    <mergeCell ref="A13:F13"/>
    <mergeCell ref="G2:H2"/>
    <mergeCell ref="E2:F2"/>
    <mergeCell ref="K2:L2"/>
    <mergeCell ref="I2:J2"/>
    <mergeCell ref="U2:U3"/>
    <mergeCell ref="C2:C3"/>
    <mergeCell ref="A9:C9"/>
    <mergeCell ref="B2:B3"/>
    <mergeCell ref="A2:A3"/>
    <mergeCell ref="D2:D3"/>
    <mergeCell ref="A8:B8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X50"/>
  <sheetViews>
    <sheetView workbookViewId="0">
      <selection activeCell="A1" sqref="A1"/>
    </sheetView>
  </sheetViews>
  <sheetFormatPr baseColWidth="8" defaultColWidth="9.109375" defaultRowHeight="14.4"/>
  <cols>
    <col width="13.109375" customWidth="1" style="69" min="1" max="1"/>
    <col width="12" customWidth="1" style="69" min="2" max="2"/>
    <col width="12" customWidth="1" style="69" min="4" max="4"/>
    <col width="13.109375" customWidth="1" style="69" min="5" max="5"/>
    <col width="14" customWidth="1" style="69" min="6" max="6"/>
    <col width="10.109375" customWidth="1" style="69" min="7" max="7"/>
    <col width="10.6640625" customWidth="1" style="69" min="8" max="8"/>
    <col width="9.5546875" customWidth="1" style="69" min="9" max="9"/>
    <col width="10.6640625" customWidth="1" style="69" min="10" max="14"/>
    <col width="13.44140625" customWidth="1" style="69" min="15" max="15"/>
    <col width="11.88671875" customWidth="1" style="69" min="16" max="16"/>
    <col width="10.6640625" customWidth="1" style="69" min="18" max="18"/>
    <col width="9.5546875" customWidth="1" style="69" min="19" max="19"/>
    <col width="10.6640625" customWidth="1" style="69" min="20" max="20"/>
    <col width="9.6640625" customWidth="1" style="69" min="21" max="21"/>
    <col width="12.5546875" customWidth="1" style="69" min="23" max="23"/>
    <col width="12" customWidth="1" style="69" min="24" max="24"/>
  </cols>
  <sheetData>
    <row r="1" ht="18.6" customHeight="1" s="69"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</row>
    <row r="2" ht="18.6" customHeight="1" s="69">
      <c r="A2" s="47" t="inlineStr">
        <is>
          <t>Particular</t>
        </is>
      </c>
      <c r="B2" s="47" t="inlineStr">
        <is>
          <t>Qty</t>
        </is>
      </c>
      <c r="C2" s="47" t="inlineStr">
        <is>
          <t>Rate</t>
        </is>
      </c>
      <c r="D2" s="50" t="inlineStr">
        <is>
          <t>Amount</t>
        </is>
      </c>
      <c r="E2" s="56" t="inlineStr">
        <is>
          <t>Pos SBI</t>
        </is>
      </c>
      <c r="F2" s="57" t="n"/>
      <c r="G2" s="56" t="inlineStr">
        <is>
          <t>Paytm</t>
        </is>
      </c>
      <c r="H2" s="57" t="n"/>
      <c r="I2" s="56" t="inlineStr">
        <is>
          <t>HP Card</t>
        </is>
      </c>
      <c r="J2" s="57" t="n"/>
      <c r="K2" s="56" t="inlineStr">
        <is>
          <t>ICICI</t>
        </is>
      </c>
      <c r="L2" s="57" t="n"/>
      <c r="M2" s="56" t="inlineStr">
        <is>
          <t>phone pe</t>
        </is>
      </c>
      <c r="N2" s="57" t="n"/>
      <c r="O2" s="54" t="inlineStr">
        <is>
          <t>mobiquick</t>
        </is>
      </c>
      <c r="P2" s="55" t="n"/>
      <c r="Q2" s="56" t="inlineStr">
        <is>
          <t xml:space="preserve">CASH </t>
        </is>
      </c>
      <c r="R2" s="57" t="n"/>
      <c r="S2" s="56" t="inlineStr">
        <is>
          <t>Credit</t>
        </is>
      </c>
      <c r="T2" s="57" t="n"/>
      <c r="U2" s="45" t="inlineStr">
        <is>
          <t>Qty Diffrence</t>
        </is>
      </c>
      <c r="W2" s="2" t="n"/>
      <c r="X2" s="2" t="n"/>
    </row>
    <row r="3" ht="18.6" customHeight="1" s="69">
      <c r="A3" s="46" t="n"/>
      <c r="B3" s="46" t="n"/>
      <c r="C3" s="46" t="n"/>
      <c r="D3" s="51" t="n"/>
      <c r="E3" s="56" t="inlineStr">
        <is>
          <t>Qty</t>
        </is>
      </c>
      <c r="F3" s="41" t="inlineStr">
        <is>
          <t>Amount</t>
        </is>
      </c>
      <c r="G3" s="56" t="inlineStr">
        <is>
          <t>Qty</t>
        </is>
      </c>
      <c r="H3" s="41" t="inlineStr">
        <is>
          <t>Amount</t>
        </is>
      </c>
      <c r="I3" s="56" t="inlineStr">
        <is>
          <t>Qty</t>
        </is>
      </c>
      <c r="J3" s="41" t="inlineStr">
        <is>
          <t>Amount</t>
        </is>
      </c>
      <c r="K3" s="56" t="inlineStr">
        <is>
          <t>Qty</t>
        </is>
      </c>
      <c r="L3" s="41" t="inlineStr">
        <is>
          <t>Amount</t>
        </is>
      </c>
      <c r="M3" s="56" t="inlineStr">
        <is>
          <t>Qty</t>
        </is>
      </c>
      <c r="N3" s="41" t="inlineStr">
        <is>
          <t>Amount</t>
        </is>
      </c>
      <c r="O3" s="56" t="inlineStr">
        <is>
          <t>Qty</t>
        </is>
      </c>
      <c r="P3" s="41" t="inlineStr">
        <is>
          <t>Amount</t>
        </is>
      </c>
      <c r="Q3" s="56" t="inlineStr">
        <is>
          <t>Qty</t>
        </is>
      </c>
      <c r="R3" s="41" t="inlineStr">
        <is>
          <t>Amount</t>
        </is>
      </c>
      <c r="S3" s="56" t="inlineStr">
        <is>
          <t>Qty</t>
        </is>
      </c>
      <c r="T3" s="41" t="inlineStr">
        <is>
          <t>Amount</t>
        </is>
      </c>
      <c r="U3" s="46" t="n"/>
      <c r="W3" s="2" t="inlineStr">
        <is>
          <t>diesal</t>
        </is>
      </c>
      <c r="X3" s="2">
        <f>+SUMIFS(C15:C25,B15:B25,W3)</f>
        <v/>
      </c>
    </row>
    <row r="4" customFormat="1" s="2">
      <c r="A4" s="3" t="inlineStr">
        <is>
          <t>Petrol</t>
        </is>
      </c>
      <c r="B4" s="12">
        <f>+(H13+H14+H15)/$C$4</f>
        <v/>
      </c>
      <c r="C4" s="4" t="n">
        <v>104.71</v>
      </c>
      <c r="D4" s="5">
        <f>B4*C4</f>
        <v/>
      </c>
      <c r="E4" s="6" t="n">
        <v>0</v>
      </c>
      <c r="F4" s="7">
        <f>+E4*C4</f>
        <v/>
      </c>
      <c r="G4" s="9">
        <f>+(H8*60%)/$C$4</f>
        <v/>
      </c>
      <c r="H4" s="7">
        <f>+G4*C4</f>
        <v/>
      </c>
      <c r="I4" s="6">
        <f>J4/C4</f>
        <v/>
      </c>
      <c r="J4" s="7" t="n">
        <v>0</v>
      </c>
      <c r="K4" s="8">
        <f>+L8/$C$4</f>
        <v/>
      </c>
      <c r="L4" s="7">
        <f>+K4*C4</f>
        <v/>
      </c>
      <c r="M4" s="9">
        <f>+(N8*60%)/$C$4</f>
        <v/>
      </c>
      <c r="N4" s="7">
        <f>+M4*C4</f>
        <v/>
      </c>
      <c r="O4" s="9" t="n"/>
      <c r="P4" s="7">
        <f>+O4*C4</f>
        <v/>
      </c>
      <c r="Q4" s="6" t="n">
        <v>946.500410658008</v>
      </c>
      <c r="R4" s="7">
        <f>+Q4*C4</f>
        <v/>
      </c>
      <c r="S4" s="10">
        <f>+X4</f>
        <v/>
      </c>
      <c r="T4" s="7">
        <f>+S4*C4</f>
        <v/>
      </c>
      <c r="U4" s="11">
        <f>+B4-E4-G4-Q4-S4-K4-I4-M4-O4</f>
        <v/>
      </c>
      <c r="W4" t="inlineStr">
        <is>
          <t>petrol</t>
        </is>
      </c>
      <c r="X4" s="2">
        <f>+SUMIFS(C15:C26,B15:B26,W4)</f>
        <v/>
      </c>
    </row>
    <row r="5" customFormat="1" s="2">
      <c r="A5" s="3" t="inlineStr">
        <is>
          <t>Diesal</t>
        </is>
      </c>
      <c r="B5" s="12">
        <f>+(I13+I14+I15)/$C$5</f>
        <v/>
      </c>
      <c r="C5" s="4" t="n">
        <v>90.20999999999999</v>
      </c>
      <c r="D5" s="5">
        <f>B5*C5</f>
        <v/>
      </c>
      <c r="E5" s="6" t="n">
        <v>0</v>
      </c>
      <c r="F5" s="7">
        <f>+E5*C5</f>
        <v/>
      </c>
      <c r="G5" s="6">
        <f>+(H8*40%)/$C$5</f>
        <v/>
      </c>
      <c r="H5" s="7">
        <f>+G5*C5</f>
        <v/>
      </c>
      <c r="I5" s="6">
        <f>+J8/C5</f>
        <v/>
      </c>
      <c r="J5" s="7">
        <f>+I5*C5</f>
        <v/>
      </c>
      <c r="K5" s="6" t="n">
        <v>0</v>
      </c>
      <c r="L5" s="7">
        <f>+K5*C5</f>
        <v/>
      </c>
      <c r="M5" s="6">
        <f>+(N8*40%)/$C$5</f>
        <v/>
      </c>
      <c r="N5" s="7">
        <f>+M5*C5</f>
        <v/>
      </c>
      <c r="O5" s="9">
        <f>+P8/C5</f>
        <v/>
      </c>
      <c r="P5" s="7">
        <f>+O5*C5</f>
        <v/>
      </c>
      <c r="Q5" s="6" t="n">
        <v>411.9914865314266</v>
      </c>
      <c r="R5" s="7">
        <f>+Q5*C5</f>
        <v/>
      </c>
      <c r="S5" s="10">
        <f>+X3</f>
        <v/>
      </c>
      <c r="T5" s="7">
        <f>+S5*C5</f>
        <v/>
      </c>
      <c r="U5" s="11">
        <f>+B5-E5-G5-Q5-S5-K5-I5-M5-O5</f>
        <v/>
      </c>
      <c r="W5" t="inlineStr">
        <is>
          <t>Petrol Power</t>
        </is>
      </c>
      <c r="X5" s="2">
        <f>+SUMIFS(C17:C27,B17:B27,W5)</f>
        <v/>
      </c>
    </row>
    <row r="6" customFormat="1" s="2">
      <c r="A6" s="3" t="inlineStr">
        <is>
          <t>Petrol Power</t>
        </is>
      </c>
      <c r="B6" s="12">
        <f>+(J13+J14+J15)/$C$6</f>
        <v/>
      </c>
      <c r="C6" s="4" t="n">
        <v>112.8</v>
      </c>
      <c r="D6" s="5">
        <f>B6*C6</f>
        <v/>
      </c>
      <c r="E6" s="6" t="n">
        <v>0</v>
      </c>
      <c r="F6" s="7">
        <f>+E6*C6</f>
        <v/>
      </c>
      <c r="G6" s="6" t="n"/>
      <c r="H6" s="7">
        <f>+G6*C6</f>
        <v/>
      </c>
      <c r="I6" s="6" t="n">
        <v>0</v>
      </c>
      <c r="J6" s="7">
        <f>+I6*C6</f>
        <v/>
      </c>
      <c r="K6" s="6" t="n">
        <v>0</v>
      </c>
      <c r="L6" s="7">
        <f>+K6*C6</f>
        <v/>
      </c>
      <c r="M6" s="9" t="n">
        <v>0</v>
      </c>
      <c r="N6" s="7">
        <f>+M6*C6</f>
        <v/>
      </c>
      <c r="O6" s="9" t="n"/>
      <c r="P6" s="7">
        <f>+O6*C6</f>
        <v/>
      </c>
      <c r="Q6" s="6" t="n">
        <v>43.28900709219858</v>
      </c>
      <c r="R6" s="7">
        <f>+Q6*C6</f>
        <v/>
      </c>
      <c r="S6" s="10">
        <f>+X5</f>
        <v/>
      </c>
      <c r="T6" s="7">
        <f>+S6*C6</f>
        <v/>
      </c>
      <c r="U6" s="11">
        <f>+B6-E6-G6-Q6-S6-K6-I6-M6-O6</f>
        <v/>
      </c>
    </row>
    <row r="7" customFormat="1" s="2">
      <c r="A7" s="3" t="n"/>
      <c r="B7" s="38">
        <f>SUM(B4:B6)</f>
        <v/>
      </c>
      <c r="C7" s="3" t="n"/>
      <c r="D7" s="13">
        <f>SUM(D4:D6)</f>
        <v/>
      </c>
      <c r="E7" s="14">
        <f>SUM(E4:E6)</f>
        <v/>
      </c>
      <c r="F7" s="15">
        <f>SUM(F4:F6)</f>
        <v/>
      </c>
      <c r="G7" s="14">
        <f>SUM(G4:G6)</f>
        <v/>
      </c>
      <c r="H7" s="15">
        <f>SUM(H4:H6)</f>
        <v/>
      </c>
      <c r="I7" s="14">
        <f>SUM(I4:I6)</f>
        <v/>
      </c>
      <c r="J7" s="15">
        <f>SUM(J4:J6)</f>
        <v/>
      </c>
      <c r="K7" s="14">
        <f>SUM(K4:K6)</f>
        <v/>
      </c>
      <c r="L7" s="15">
        <f>SUM(L4:L6)</f>
        <v/>
      </c>
      <c r="M7" s="14">
        <f>SUM(M4:M6)</f>
        <v/>
      </c>
      <c r="N7" s="15">
        <f>SUM(N4:N6)</f>
        <v/>
      </c>
      <c r="O7" s="14">
        <f>SUM(O4:O6)</f>
        <v/>
      </c>
      <c r="P7" s="15">
        <f>SUM(P4:P6)</f>
        <v/>
      </c>
      <c r="Q7" s="14">
        <f>SUM(Q4:Q6)</f>
        <v/>
      </c>
      <c r="R7" s="15">
        <f>SUM(R4:R6)</f>
        <v/>
      </c>
      <c r="S7" s="14">
        <f>SUM(S4:S6)</f>
        <v/>
      </c>
      <c r="T7" s="15">
        <f>SUM(T4:T6)</f>
        <v/>
      </c>
      <c r="U7" s="11">
        <f>+B7-E7-G7-Q7-S7-K7-I7-M7-O7</f>
        <v/>
      </c>
    </row>
    <row r="8" ht="15" customFormat="1" customHeight="1" s="2" thickBot="1">
      <c r="A8" s="52" t="inlineStr">
        <is>
          <t>Actual Amount</t>
        </is>
      </c>
      <c r="B8" s="53" t="n"/>
      <c r="C8" s="16" t="n"/>
      <c r="D8" s="17" t="n"/>
      <c r="E8" s="18" t="n"/>
      <c r="F8" s="19" t="n">
        <v>0</v>
      </c>
      <c r="G8" s="18" t="n"/>
      <c r="H8" s="19" t="n">
        <v>69527.42</v>
      </c>
      <c r="I8" s="18" t="n"/>
      <c r="J8" s="19" t="n">
        <v>6486</v>
      </c>
      <c r="K8" s="18" t="n"/>
      <c r="L8" s="19" t="n">
        <v>13719.55</v>
      </c>
      <c r="M8" s="20" t="n"/>
      <c r="N8" s="19" t="n">
        <v>76774.89999999999</v>
      </c>
      <c r="O8" s="20" t="inlineStr"/>
      <c r="P8" s="19" t="n">
        <v>0</v>
      </c>
      <c r="Q8" s="18" t="n">
        <v>0</v>
      </c>
      <c r="R8" s="19" t="n">
        <v>138656</v>
      </c>
      <c r="S8" s="18" t="n"/>
      <c r="T8" s="19" t="n">
        <v>54675.32</v>
      </c>
      <c r="U8" s="17" t="n"/>
    </row>
    <row r="9" ht="15.6" customHeight="1" s="69" thickBot="1" thickTop="1">
      <c r="A9" s="48" t="inlineStr">
        <is>
          <t>Diffrence should be zero</t>
        </is>
      </c>
      <c r="B9" s="49" t="n"/>
      <c r="C9" s="49" t="n"/>
      <c r="D9" s="21" t="n"/>
      <c r="E9" s="21" t="n"/>
      <c r="F9" s="22">
        <f>+F7-F8</f>
        <v/>
      </c>
      <c r="G9" s="21" t="n"/>
      <c r="H9" s="22">
        <f>+H7-H8</f>
        <v/>
      </c>
      <c r="I9" s="21" t="n"/>
      <c r="J9" s="22">
        <f>+J7-J8</f>
        <v/>
      </c>
      <c r="K9" s="21" t="n"/>
      <c r="L9" s="22">
        <f>+L7-L8</f>
        <v/>
      </c>
      <c r="M9" s="22" t="n"/>
      <c r="N9" s="22">
        <f>+N7-N8</f>
        <v/>
      </c>
      <c r="O9" s="22" t="n"/>
      <c r="P9" s="22">
        <f>+P7-P8</f>
        <v/>
      </c>
      <c r="Q9" s="21" t="n"/>
      <c r="R9" s="22">
        <f>+R7-R8</f>
        <v/>
      </c>
      <c r="S9" s="21" t="n"/>
      <c r="T9" s="22">
        <f>+T7-T8</f>
        <v/>
      </c>
      <c r="U9" s="23" t="n"/>
    </row>
    <row r="10" ht="15" customHeight="1" s="69" thickTop="1">
      <c r="A10" s="24" t="n"/>
      <c r="B10" s="24" t="n">
        <v>0</v>
      </c>
      <c r="C10" s="24" t="n"/>
      <c r="D10" s="2" t="n"/>
      <c r="E10" s="2" t="n"/>
      <c r="F10" s="25" t="n"/>
      <c r="G10" s="2" t="n"/>
      <c r="H10" s="25" t="n"/>
      <c r="I10" s="2" t="n"/>
      <c r="J10" s="25" t="n"/>
      <c r="K10" s="2" t="n"/>
      <c r="L10" s="6" t="n"/>
      <c r="M10" s="2" t="n"/>
      <c r="N10" s="25" t="n"/>
      <c r="O10" s="25" t="n"/>
      <c r="P10" s="25" t="n"/>
      <c r="Q10" s="25" t="n"/>
      <c r="R10" s="25" t="n"/>
      <c r="S10" s="2" t="n"/>
      <c r="T10" s="25" t="n"/>
      <c r="U10" s="2" t="n"/>
    </row>
    <row r="11">
      <c r="A11" s="26" t="inlineStr">
        <is>
          <t>sales value diff</t>
        </is>
      </c>
      <c r="D11" s="27">
        <f>+D7-F8-H8-L8-J8-R8-T8-N8-P8</f>
        <v/>
      </c>
      <c r="F11" s="72" t="n"/>
      <c r="M11" s="72" t="n"/>
    </row>
    <row r="12">
      <c r="F12" s="72" t="n"/>
      <c r="G12" s="72" t="n"/>
      <c r="H12" s="29" t="inlineStr">
        <is>
          <t>Petrol</t>
        </is>
      </c>
      <c r="I12" s="29" t="inlineStr">
        <is>
          <t>Diesal</t>
        </is>
      </c>
      <c r="J12" s="29" t="inlineStr">
        <is>
          <t>Power</t>
        </is>
      </c>
    </row>
    <row r="13">
      <c r="A13" s="58" t="inlineStr">
        <is>
          <t>CREDIT DETAIL</t>
        </is>
      </c>
      <c r="B13" s="59" t="n"/>
      <c r="C13" s="59" t="n"/>
      <c r="D13" s="59" t="n"/>
      <c r="E13" s="59" t="n"/>
      <c r="F13" s="57" t="n"/>
      <c r="H13" s="79" t="n">
        <v>70398</v>
      </c>
      <c r="I13" s="80" t="n">
        <v>81669</v>
      </c>
      <c r="J13" s="79" t="n">
        <v>4883</v>
      </c>
    </row>
    <row r="14">
      <c r="A14" s="29" t="inlineStr">
        <is>
          <t>particular</t>
        </is>
      </c>
      <c r="B14" s="29" t="inlineStr">
        <is>
          <t xml:space="preserve">Type </t>
        </is>
      </c>
      <c r="C14" s="31" t="inlineStr">
        <is>
          <t>QTY</t>
        </is>
      </c>
      <c r="D14" s="31" t="inlineStr">
        <is>
          <t>RATE</t>
        </is>
      </c>
      <c r="E14" s="31" t="inlineStr">
        <is>
          <t>AMOUNT</t>
        </is>
      </c>
      <c r="F14" s="32" t="inlineStr">
        <is>
          <t>inv no</t>
        </is>
      </c>
      <c r="H14" s="79" t="n">
        <v>130211</v>
      </c>
      <c r="I14" s="80" t="n">
        <v>62039</v>
      </c>
      <c r="J14" s="79" t="n"/>
      <c r="K14" s="74" t="n"/>
      <c r="L14" s="74" t="n"/>
      <c r="M14" s="74" t="n"/>
    </row>
    <row r="15">
      <c r="A15" s="33" t="inlineStr">
        <is>
          <t>Piploda</t>
        </is>
      </c>
      <c r="B15" s="34" t="inlineStr">
        <is>
          <t>diesal</t>
        </is>
      </c>
      <c r="C15" s="29">
        <f>+E15/D15</f>
        <v/>
      </c>
      <c r="D15" s="79">
        <f>+VLOOKUP(B15,A$4:C$6,3,0)</f>
        <v/>
      </c>
      <c r="E15" s="81" t="n">
        <v>7494.64</v>
      </c>
      <c r="F15" s="34" t="n">
        <v>21349</v>
      </c>
      <c r="H15" s="80" t="n"/>
      <c r="I15" s="80" t="n">
        <v>10640</v>
      </c>
      <c r="J15" s="80" t="n"/>
      <c r="K15" s="72" t="n"/>
    </row>
    <row r="16">
      <c r="A16" s="33" t="inlineStr">
        <is>
          <t>mk Soler</t>
        </is>
      </c>
      <c r="B16" s="34" t="inlineStr">
        <is>
          <t>diesal</t>
        </is>
      </c>
      <c r="C16" s="29">
        <f>+E16/D16</f>
        <v/>
      </c>
      <c r="D16" s="79">
        <f>+VLOOKUP(B16,A$4:C$6,3,0)</f>
        <v/>
      </c>
      <c r="E16" s="81" t="n">
        <v>3980.96</v>
      </c>
      <c r="F16" s="34" t="n">
        <v>21350</v>
      </c>
      <c r="H16" s="79">
        <f>+H24/C4</f>
        <v/>
      </c>
      <c r="I16" s="43">
        <f>+I24/C5</f>
        <v/>
      </c>
      <c r="J16" s="43">
        <f>+J24/C6</f>
        <v/>
      </c>
      <c r="K16" s="72" t="n"/>
      <c r="M16" s="72" t="n"/>
    </row>
    <row r="17">
      <c r="A17" s="33" t="inlineStr">
        <is>
          <t>Sitaram Yadav</t>
        </is>
      </c>
      <c r="B17" s="34" t="inlineStr">
        <is>
          <t>diesal</t>
        </is>
      </c>
      <c r="C17" s="29">
        <f>+E17/D17</f>
        <v/>
      </c>
      <c r="D17" s="79">
        <f>+VLOOKUP(B17,A$4:C$6,3,0)</f>
        <v/>
      </c>
      <c r="E17" s="82" t="n">
        <v>20500.22</v>
      </c>
      <c r="F17" s="34" t="n">
        <v>21351</v>
      </c>
      <c r="H17" s="72" t="n"/>
      <c r="K17" s="72" t="n"/>
    </row>
    <row r="18">
      <c r="A18" s="33" t="inlineStr">
        <is>
          <t>Sitaram Yadav</t>
        </is>
      </c>
      <c r="B18" s="34" t="inlineStr">
        <is>
          <t>diesal</t>
        </is>
      </c>
      <c r="C18" s="29">
        <f>+E18/D18</f>
        <v/>
      </c>
      <c r="D18" s="79">
        <f>+VLOOKUP(B18,A$4:C$6,3,0)</f>
        <v/>
      </c>
      <c r="E18" s="82" t="n">
        <v>10002.48</v>
      </c>
      <c r="F18" s="34" t="n">
        <v>21352</v>
      </c>
    </row>
    <row r="19">
      <c r="A19" s="33" t="inlineStr">
        <is>
          <t>dinesh</t>
        </is>
      </c>
      <c r="B19" s="34" t="inlineStr">
        <is>
          <t>diesal</t>
        </is>
      </c>
      <c r="C19" s="29">
        <f>+E19/D19</f>
        <v/>
      </c>
      <c r="D19" s="79">
        <f>+VLOOKUP(B19,A$4:C$6,3,0)</f>
        <v/>
      </c>
      <c r="E19" s="82" t="n">
        <v>3396.4</v>
      </c>
      <c r="F19" s="39" t="n">
        <v>21353</v>
      </c>
      <c r="K19" s="72" t="n"/>
      <c r="M19" s="72" t="n"/>
    </row>
    <row r="20">
      <c r="A20" s="33" t="inlineStr">
        <is>
          <t>dinesh</t>
        </is>
      </c>
      <c r="B20" s="34" t="inlineStr">
        <is>
          <t>diesal</t>
        </is>
      </c>
      <c r="C20" s="29">
        <f>+E20/D20</f>
        <v/>
      </c>
      <c r="D20" s="79">
        <f>+VLOOKUP(B20,A$4:C$6,3,0)</f>
        <v/>
      </c>
      <c r="E20" s="82" t="n">
        <v>3799.64</v>
      </c>
      <c r="F20" s="79" t="n">
        <v>21354</v>
      </c>
      <c r="K20" s="72" t="n"/>
    </row>
    <row r="21">
      <c r="A21" s="33" t="inlineStr">
        <is>
          <t>Balaji Care and Cure</t>
        </is>
      </c>
      <c r="B21" s="34" t="inlineStr">
        <is>
          <t>diesal</t>
        </is>
      </c>
      <c r="C21" s="29">
        <f>+E21/D21</f>
        <v/>
      </c>
      <c r="D21" s="79">
        <f>+VLOOKUP(B21,A$4:C$6,3,0)</f>
        <v/>
      </c>
      <c r="E21" s="82" t="n">
        <v>3000.98</v>
      </c>
      <c r="F21" s="35" t="n">
        <v>21355</v>
      </c>
      <c r="H21" s="71" t="n"/>
      <c r="K21" s="72" t="n"/>
      <c r="M21" s="72" t="n"/>
    </row>
    <row r="22">
      <c r="A22" s="33" t="n"/>
      <c r="B22" s="34" t="inlineStr">
        <is>
          <t>diesal</t>
        </is>
      </c>
      <c r="C22" s="29">
        <f>+E22/D22</f>
        <v/>
      </c>
      <c r="D22" s="79">
        <f>+VLOOKUP(B22,A$4:C$6,3,0)</f>
        <v/>
      </c>
      <c r="E22" s="82" t="n"/>
      <c r="F22" s="79" t="n"/>
    </row>
    <row r="23">
      <c r="A23" s="34" t="n"/>
      <c r="B23" s="34" t="inlineStr">
        <is>
          <t>diesal</t>
        </is>
      </c>
      <c r="C23" s="29">
        <f>+E23/D23</f>
        <v/>
      </c>
      <c r="D23" s="79">
        <f>+VLOOKUP(B23,A$4:C$6,3,0)</f>
        <v/>
      </c>
      <c r="E23" s="82" t="n"/>
      <c r="F23" s="79" t="n"/>
    </row>
    <row r="24">
      <c r="A24" s="34" t="n"/>
      <c r="B24" s="34" t="inlineStr">
        <is>
          <t>diesal</t>
        </is>
      </c>
      <c r="C24" s="29">
        <f>+E24/D24</f>
        <v/>
      </c>
      <c r="D24" s="79">
        <f>+VLOOKUP(B24,A$4:C$6,3,0)</f>
        <v/>
      </c>
      <c r="E24" s="29" t="n"/>
      <c r="F24" s="79" t="n"/>
      <c r="H24" s="72" t="n"/>
      <c r="I24" s="72" t="n"/>
      <c r="J24" s="72" t="n"/>
    </row>
    <row r="25">
      <c r="A25" s="34" t="n"/>
      <c r="B25" s="34" t="inlineStr">
        <is>
          <t>diesal</t>
        </is>
      </c>
      <c r="C25" s="29">
        <f>+E25/D25</f>
        <v/>
      </c>
      <c r="D25" s="79">
        <f>+VLOOKUP(B25,A$4:C$6,3,0)</f>
        <v/>
      </c>
      <c r="E25" s="29" t="n"/>
      <c r="F25" s="79" t="n"/>
      <c r="H25" s="72" t="n"/>
    </row>
    <row r="26">
      <c r="A26" s="79" t="n"/>
      <c r="B26" s="79" t="n"/>
      <c r="C26" s="29">
        <f>SUM(C15:C25)</f>
        <v/>
      </c>
      <c r="D26" s="29" t="n"/>
      <c r="E26" s="29">
        <f>SUM(E15:E25)</f>
        <v/>
      </c>
      <c r="F26" s="79" t="n"/>
    </row>
    <row r="50">
      <c r="E50" t="n">
        <v>9</v>
      </c>
    </row>
  </sheetData>
  <mergeCells count="16">
    <mergeCell ref="O2:P2"/>
    <mergeCell ref="M2:N2"/>
    <mergeCell ref="S2:T2"/>
    <mergeCell ref="Q2:R2"/>
    <mergeCell ref="A13:F13"/>
    <mergeCell ref="G2:H2"/>
    <mergeCell ref="E2:F2"/>
    <mergeCell ref="K2:L2"/>
    <mergeCell ref="I2:J2"/>
    <mergeCell ref="U2:U3"/>
    <mergeCell ref="C2:C3"/>
    <mergeCell ref="A9:C9"/>
    <mergeCell ref="B2:B3"/>
    <mergeCell ref="A2:A3"/>
    <mergeCell ref="D2:D3"/>
    <mergeCell ref="A8:B8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X50"/>
  <sheetViews>
    <sheetView workbookViewId="0">
      <selection activeCell="A1" sqref="A1"/>
    </sheetView>
  </sheetViews>
  <sheetFormatPr baseColWidth="8" defaultColWidth="9.109375" defaultRowHeight="14.4"/>
  <cols>
    <col width="13.109375" customWidth="1" style="69" min="1" max="1"/>
    <col width="12" customWidth="1" style="69" min="2" max="2"/>
    <col width="12" customWidth="1" style="69" min="4" max="4"/>
    <col width="13.109375" customWidth="1" style="69" min="5" max="5"/>
    <col width="14" customWidth="1" style="69" min="6" max="6"/>
    <col width="10.109375" customWidth="1" style="69" min="7" max="7"/>
    <col width="10.6640625" customWidth="1" style="69" min="8" max="8"/>
    <col width="9.5546875" customWidth="1" style="69" min="9" max="9"/>
    <col width="10.6640625" customWidth="1" style="69" min="10" max="14"/>
    <col width="13.44140625" customWidth="1" style="69" min="15" max="15"/>
    <col width="11.88671875" customWidth="1" style="69" min="16" max="16"/>
    <col width="10.6640625" customWidth="1" style="69" min="18" max="18"/>
    <col width="9.5546875" customWidth="1" style="69" min="19" max="19"/>
    <col width="10.6640625" customWidth="1" style="69" min="20" max="20"/>
    <col width="9.6640625" customWidth="1" style="69" min="21" max="21"/>
    <col width="12.5546875" customWidth="1" style="69" min="23" max="23"/>
    <col width="12" customWidth="1" style="69" min="24" max="24"/>
  </cols>
  <sheetData>
    <row r="1" ht="18.6" customHeight="1" s="69"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</row>
    <row r="2" ht="18.6" customHeight="1" s="69">
      <c r="A2" s="47" t="inlineStr">
        <is>
          <t>Particular</t>
        </is>
      </c>
      <c r="B2" s="47" t="inlineStr">
        <is>
          <t>Qty</t>
        </is>
      </c>
      <c r="C2" s="47" t="inlineStr">
        <is>
          <t>Rate</t>
        </is>
      </c>
      <c r="D2" s="50" t="inlineStr">
        <is>
          <t>Amount</t>
        </is>
      </c>
      <c r="E2" s="56" t="inlineStr">
        <is>
          <t>Pos SBI</t>
        </is>
      </c>
      <c r="F2" s="57" t="n"/>
      <c r="G2" s="56" t="inlineStr">
        <is>
          <t>Paytm</t>
        </is>
      </c>
      <c r="H2" s="57" t="n"/>
      <c r="I2" s="56" t="inlineStr">
        <is>
          <t>HP Card</t>
        </is>
      </c>
      <c r="J2" s="57" t="n"/>
      <c r="K2" s="56" t="inlineStr">
        <is>
          <t>ICICI</t>
        </is>
      </c>
      <c r="L2" s="57" t="n"/>
      <c r="M2" s="56" t="inlineStr">
        <is>
          <t>phone pe</t>
        </is>
      </c>
      <c r="N2" s="57" t="n"/>
      <c r="O2" s="54" t="inlineStr">
        <is>
          <t>mobiquick</t>
        </is>
      </c>
      <c r="P2" s="55" t="n"/>
      <c r="Q2" s="56" t="inlineStr">
        <is>
          <t xml:space="preserve">CASH </t>
        </is>
      </c>
      <c r="R2" s="57" t="n"/>
      <c r="S2" s="56" t="inlineStr">
        <is>
          <t>Credit</t>
        </is>
      </c>
      <c r="T2" s="57" t="n"/>
      <c r="U2" s="45" t="inlineStr">
        <is>
          <t>Qty Diffrence</t>
        </is>
      </c>
      <c r="W2" s="2" t="n"/>
      <c r="X2" s="2" t="n"/>
    </row>
    <row r="3" ht="18.6" customHeight="1" s="69">
      <c r="A3" s="46" t="n"/>
      <c r="B3" s="46" t="n"/>
      <c r="C3" s="46" t="n"/>
      <c r="D3" s="51" t="n"/>
      <c r="E3" s="56" t="inlineStr">
        <is>
          <t>Qty</t>
        </is>
      </c>
      <c r="F3" s="41" t="inlineStr">
        <is>
          <t>Amount</t>
        </is>
      </c>
      <c r="G3" s="56" t="inlineStr">
        <is>
          <t>Qty</t>
        </is>
      </c>
      <c r="H3" s="41" t="inlineStr">
        <is>
          <t>Amount</t>
        </is>
      </c>
      <c r="I3" s="56" t="inlineStr">
        <is>
          <t>Qty</t>
        </is>
      </c>
      <c r="J3" s="41" t="inlineStr">
        <is>
          <t>Amount</t>
        </is>
      </c>
      <c r="K3" s="56" t="inlineStr">
        <is>
          <t>Qty</t>
        </is>
      </c>
      <c r="L3" s="41" t="inlineStr">
        <is>
          <t>Amount</t>
        </is>
      </c>
      <c r="M3" s="56" t="inlineStr">
        <is>
          <t>Qty</t>
        </is>
      </c>
      <c r="N3" s="41" t="inlineStr">
        <is>
          <t>Amount</t>
        </is>
      </c>
      <c r="O3" s="56" t="inlineStr">
        <is>
          <t>Qty</t>
        </is>
      </c>
      <c r="P3" s="41" t="inlineStr">
        <is>
          <t>Amount</t>
        </is>
      </c>
      <c r="Q3" s="56" t="inlineStr">
        <is>
          <t>Qty</t>
        </is>
      </c>
      <c r="R3" s="41" t="inlineStr">
        <is>
          <t>Amount</t>
        </is>
      </c>
      <c r="S3" s="56" t="inlineStr">
        <is>
          <t>Qty</t>
        </is>
      </c>
      <c r="T3" s="41" t="inlineStr">
        <is>
          <t>Amount</t>
        </is>
      </c>
      <c r="U3" s="46" t="n"/>
      <c r="W3" s="2" t="inlineStr">
        <is>
          <t>diesal</t>
        </is>
      </c>
      <c r="X3" s="2">
        <f>+SUMIFS(C15:C25,B15:B25,W3)</f>
        <v/>
      </c>
    </row>
    <row r="4" customFormat="1" s="2">
      <c r="A4" s="3" t="inlineStr">
        <is>
          <t>Petrol</t>
        </is>
      </c>
      <c r="B4" s="12">
        <f>+(H13+H14+H15)/$C$4</f>
        <v/>
      </c>
      <c r="C4" s="4" t="n">
        <v>104.71</v>
      </c>
      <c r="D4" s="5">
        <f>B4*C4</f>
        <v/>
      </c>
      <c r="E4" s="6" t="n">
        <v>0</v>
      </c>
      <c r="F4" s="7">
        <f>+E4*C4</f>
        <v/>
      </c>
      <c r="G4" s="9">
        <f>+(H8*60%)/$C$4</f>
        <v/>
      </c>
      <c r="H4" s="7">
        <f>+G4*C4</f>
        <v/>
      </c>
      <c r="I4" s="6">
        <f>J4/C4</f>
        <v/>
      </c>
      <c r="J4" s="7" t="n">
        <v>0</v>
      </c>
      <c r="K4" s="8">
        <f>+L8/$C$4</f>
        <v/>
      </c>
      <c r="L4" s="7">
        <f>+K4*C4</f>
        <v/>
      </c>
      <c r="M4" s="9">
        <f>+(N8*60%)/$C$4</f>
        <v/>
      </c>
      <c r="N4" s="7">
        <f>+M4*C4</f>
        <v/>
      </c>
      <c r="O4" s="9" t="n"/>
      <c r="P4" s="7">
        <f>+O4*C4</f>
        <v/>
      </c>
      <c r="Q4" s="6" t="n">
        <v>860.1853882150701</v>
      </c>
      <c r="R4" s="7">
        <f>+Q4*C4</f>
        <v/>
      </c>
      <c r="S4" s="10">
        <f>+X4</f>
        <v/>
      </c>
      <c r="T4" s="7">
        <f>+S4*C4</f>
        <v/>
      </c>
      <c r="U4" s="11">
        <f>+B4-E4-G4-Q4-S4-K4-I4-M4-O4</f>
        <v/>
      </c>
      <c r="W4" t="inlineStr">
        <is>
          <t>petrol</t>
        </is>
      </c>
      <c r="X4" s="2">
        <f>+SUMIFS(C15:C26,B15:B26,W4)</f>
        <v/>
      </c>
    </row>
    <row r="5" customFormat="1" s="2">
      <c r="A5" s="3" t="inlineStr">
        <is>
          <t>Diesal</t>
        </is>
      </c>
      <c r="B5" s="12">
        <f>+(I13+I14+I15)/$C$5</f>
        <v/>
      </c>
      <c r="C5" s="4" t="n">
        <v>90.20999999999999</v>
      </c>
      <c r="D5" s="5">
        <f>B5*C5</f>
        <v/>
      </c>
      <c r="E5" s="6" t="n">
        <v>0</v>
      </c>
      <c r="F5" s="7">
        <f>+E5*C5</f>
        <v/>
      </c>
      <c r="G5" s="6">
        <f>+(H8*40%)/$C$5</f>
        <v/>
      </c>
      <c r="H5" s="7">
        <f>+G5*C5</f>
        <v/>
      </c>
      <c r="I5" s="6">
        <f>+J8/C5</f>
        <v/>
      </c>
      <c r="J5" s="7">
        <f>+I5*C5</f>
        <v/>
      </c>
      <c r="K5" s="6" t="n">
        <v>0</v>
      </c>
      <c r="L5" s="7">
        <f>+K5*C5</f>
        <v/>
      </c>
      <c r="M5" s="6">
        <f>+(N8*40%)/$C$5</f>
        <v/>
      </c>
      <c r="N5" s="7">
        <f>+M5*C5</f>
        <v/>
      </c>
      <c r="O5" s="9">
        <f>+P8/C5</f>
        <v/>
      </c>
      <c r="P5" s="7">
        <f>+O5*C5</f>
        <v/>
      </c>
      <c r="Q5" s="6" t="n">
        <v>503.2196873960758</v>
      </c>
      <c r="R5" s="7">
        <f>+Q5*C5</f>
        <v/>
      </c>
      <c r="S5" s="10">
        <f>+X3</f>
        <v/>
      </c>
      <c r="T5" s="7">
        <f>+S5*C5</f>
        <v/>
      </c>
      <c r="U5" s="11">
        <f>+B5-E5-G5-Q5-S5-K5-I5-M5-O5</f>
        <v/>
      </c>
      <c r="W5" t="inlineStr">
        <is>
          <t>Petrol Power</t>
        </is>
      </c>
      <c r="X5" s="2">
        <f>+SUMIFS(C17:C27,B17:B27,W5)</f>
        <v/>
      </c>
    </row>
    <row r="6" customFormat="1" s="2">
      <c r="A6" s="3" t="inlineStr">
        <is>
          <t>Petrol Power</t>
        </is>
      </c>
      <c r="B6" s="12">
        <f>+(J13+J14+J15)/$C$6</f>
        <v/>
      </c>
      <c r="C6" s="4" t="n">
        <v>112.8</v>
      </c>
      <c r="D6" s="5">
        <f>B6*C6</f>
        <v/>
      </c>
      <c r="E6" s="6" t="n">
        <v>0</v>
      </c>
      <c r="F6" s="7">
        <f>+E6*C6</f>
        <v/>
      </c>
      <c r="G6" s="6" t="n"/>
      <c r="H6" s="7">
        <f>+G6*C6</f>
        <v/>
      </c>
      <c r="I6" s="6" t="n">
        <v>0</v>
      </c>
      <c r="J6" s="7">
        <f>+I6*C6</f>
        <v/>
      </c>
      <c r="K6" s="6" t="n">
        <v>0</v>
      </c>
      <c r="L6" s="7">
        <f>+K6*C6</f>
        <v/>
      </c>
      <c r="M6" s="9" t="n">
        <v>0</v>
      </c>
      <c r="N6" s="7">
        <f>+M6*C6</f>
        <v/>
      </c>
      <c r="O6" s="9" t="n"/>
      <c r="P6" s="7">
        <f>+O6*C6</f>
        <v/>
      </c>
      <c r="Q6" s="6" t="n">
        <v>49.9468085106383</v>
      </c>
      <c r="R6" s="7">
        <f>+Q6*C6</f>
        <v/>
      </c>
      <c r="S6" s="10">
        <f>+X5</f>
        <v/>
      </c>
      <c r="T6" s="7">
        <f>+S6*C6</f>
        <v/>
      </c>
      <c r="U6" s="11">
        <f>+B6-E6-G6-Q6-S6-K6-I6-M6-O6</f>
        <v/>
      </c>
    </row>
    <row r="7" customFormat="1" s="2">
      <c r="A7" s="3" t="n"/>
      <c r="B7" s="38">
        <f>SUM(B4:B6)</f>
        <v/>
      </c>
      <c r="C7" s="3" t="n"/>
      <c r="D7" s="13">
        <f>SUM(D4:D6)</f>
        <v/>
      </c>
      <c r="E7" s="14">
        <f>SUM(E4:E6)</f>
        <v/>
      </c>
      <c r="F7" s="15">
        <f>SUM(F4:F6)</f>
        <v/>
      </c>
      <c r="G7" s="14">
        <f>SUM(G4:G6)</f>
        <v/>
      </c>
      <c r="H7" s="15">
        <f>SUM(H4:H6)</f>
        <v/>
      </c>
      <c r="I7" s="14">
        <f>SUM(I4:I6)</f>
        <v/>
      </c>
      <c r="J7" s="15">
        <f>SUM(J4:J6)</f>
        <v/>
      </c>
      <c r="K7" s="14">
        <f>SUM(K4:K6)</f>
        <v/>
      </c>
      <c r="L7" s="15">
        <f>SUM(L4:L6)</f>
        <v/>
      </c>
      <c r="M7" s="14">
        <f>SUM(M4:M6)</f>
        <v/>
      </c>
      <c r="N7" s="15">
        <f>SUM(N4:N6)</f>
        <v/>
      </c>
      <c r="O7" s="14">
        <f>SUM(O4:O6)</f>
        <v/>
      </c>
      <c r="P7" s="15">
        <f>SUM(P4:P6)</f>
        <v/>
      </c>
      <c r="Q7" s="14">
        <f>SUM(Q4:Q6)</f>
        <v/>
      </c>
      <c r="R7" s="15">
        <f>SUM(R4:R6)</f>
        <v/>
      </c>
      <c r="S7" s="14">
        <f>SUM(S4:S6)</f>
        <v/>
      </c>
      <c r="T7" s="15">
        <f>SUM(T4:T6)</f>
        <v/>
      </c>
      <c r="U7" s="11">
        <f>+B7-E7-G7-Q7-S7-K7-I7-M7-O7</f>
        <v/>
      </c>
    </row>
    <row r="8" ht="15" customFormat="1" customHeight="1" s="2" thickBot="1">
      <c r="A8" s="52" t="inlineStr">
        <is>
          <t>Actual Amount</t>
        </is>
      </c>
      <c r="B8" s="53" t="n"/>
      <c r="C8" s="16" t="n"/>
      <c r="D8" s="17" t="n"/>
      <c r="E8" s="18" t="n"/>
      <c r="F8" s="19" t="n">
        <v>0</v>
      </c>
      <c r="G8" s="18" t="n"/>
      <c r="H8" s="19" t="n">
        <v>90847.49000000001</v>
      </c>
      <c r="I8" s="18" t="n"/>
      <c r="J8" s="19" t="n">
        <v>836</v>
      </c>
      <c r="K8" s="18" t="n"/>
      <c r="L8" s="19" t="n">
        <v>14030</v>
      </c>
      <c r="M8" s="20" t="n"/>
      <c r="N8" s="19" t="n">
        <v>79407.49000000001</v>
      </c>
      <c r="O8" s="20" t="inlineStr"/>
      <c r="P8" s="19" t="n">
        <v>0</v>
      </c>
      <c r="Q8" s="18" t="n">
        <v>0</v>
      </c>
      <c r="R8" s="19" t="n">
        <v>134043</v>
      </c>
      <c r="S8" s="18" t="n"/>
      <c r="T8" s="19" t="n">
        <v>74750.56</v>
      </c>
      <c r="U8" s="17" t="n"/>
    </row>
    <row r="9" ht="15.6" customHeight="1" s="69" thickBot="1" thickTop="1">
      <c r="A9" s="48" t="inlineStr">
        <is>
          <t>Diffrence should be zero</t>
        </is>
      </c>
      <c r="B9" s="49" t="n"/>
      <c r="C9" s="49" t="n"/>
      <c r="D9" s="21" t="n"/>
      <c r="E9" s="21" t="n"/>
      <c r="F9" s="22">
        <f>+F7-F8</f>
        <v/>
      </c>
      <c r="G9" s="21" t="n"/>
      <c r="H9" s="22">
        <f>+H7-H8</f>
        <v/>
      </c>
      <c r="I9" s="21" t="n"/>
      <c r="J9" s="22">
        <f>+J7-J8</f>
        <v/>
      </c>
      <c r="K9" s="21" t="n"/>
      <c r="L9" s="22">
        <f>+L7-L8</f>
        <v/>
      </c>
      <c r="M9" s="22" t="n"/>
      <c r="N9" s="22">
        <f>+N7-N8</f>
        <v/>
      </c>
      <c r="O9" s="22" t="n"/>
      <c r="P9" s="22">
        <f>+P7-P8</f>
        <v/>
      </c>
      <c r="Q9" s="21" t="n"/>
      <c r="R9" s="22">
        <f>+R7-R8</f>
        <v/>
      </c>
      <c r="S9" s="21" t="n"/>
      <c r="T9" s="22">
        <f>+T7-T8</f>
        <v/>
      </c>
      <c r="U9" s="23" t="n"/>
    </row>
    <row r="10" ht="15" customHeight="1" s="69" thickTop="1">
      <c r="A10" s="24" t="n"/>
      <c r="B10" s="24" t="n">
        <v>0</v>
      </c>
      <c r="C10" s="24" t="n"/>
      <c r="D10" s="2" t="n"/>
      <c r="E10" s="2" t="n"/>
      <c r="F10" s="25" t="n"/>
      <c r="G10" s="2" t="n"/>
      <c r="H10" s="25" t="n"/>
      <c r="I10" s="2" t="n"/>
      <c r="J10" s="25" t="n"/>
      <c r="K10" s="2" t="n"/>
      <c r="L10" s="6" t="n"/>
      <c r="M10" s="2" t="n"/>
      <c r="N10" s="25" t="n"/>
      <c r="O10" s="25" t="n"/>
      <c r="P10" s="25" t="n"/>
      <c r="Q10" s="25" t="n"/>
      <c r="R10" s="25" t="n"/>
      <c r="S10" s="2" t="n"/>
      <c r="T10" s="25" t="n"/>
      <c r="U10" s="2" t="n"/>
    </row>
    <row r="11">
      <c r="A11" s="26" t="inlineStr">
        <is>
          <t>sales value diff</t>
        </is>
      </c>
      <c r="D11" s="27">
        <f>+D7-F8-H8-L8-J8-R8-T8-N8-P8</f>
        <v/>
      </c>
      <c r="F11" s="72" t="n"/>
      <c r="M11" s="72" t="n"/>
    </row>
    <row r="12">
      <c r="F12" s="72" t="n"/>
      <c r="G12" s="72" t="n"/>
      <c r="H12" s="29" t="inlineStr">
        <is>
          <t>Petrol</t>
        </is>
      </c>
      <c r="I12" s="29" t="inlineStr">
        <is>
          <t>Diesal</t>
        </is>
      </c>
      <c r="J12" s="29" t="inlineStr">
        <is>
          <t>Power</t>
        </is>
      </c>
    </row>
    <row r="13">
      <c r="A13" s="58" t="inlineStr">
        <is>
          <t>CREDIT DETAIL</t>
        </is>
      </c>
      <c r="B13" s="59" t="n"/>
      <c r="C13" s="59" t="n"/>
      <c r="D13" s="59" t="n"/>
      <c r="E13" s="59" t="n"/>
      <c r="F13" s="57" t="n"/>
      <c r="H13" s="79" t="n">
        <v>106811</v>
      </c>
      <c r="I13" s="80" t="n">
        <v>61504</v>
      </c>
      <c r="J13" s="79" t="n">
        <v>5634</v>
      </c>
    </row>
    <row r="14">
      <c r="A14" s="29" t="inlineStr">
        <is>
          <t>particular</t>
        </is>
      </c>
      <c r="B14" s="29" t="inlineStr">
        <is>
          <t xml:space="preserve">Type </t>
        </is>
      </c>
      <c r="C14" s="31" t="inlineStr">
        <is>
          <t>QTY</t>
        </is>
      </c>
      <c r="D14" s="31" t="inlineStr">
        <is>
          <t>RATE</t>
        </is>
      </c>
      <c r="E14" s="31" t="inlineStr">
        <is>
          <t>AMOUNT</t>
        </is>
      </c>
      <c r="F14" s="32" t="inlineStr">
        <is>
          <t>inv no</t>
        </is>
      </c>
      <c r="H14" s="79" t="n">
        <v>99442</v>
      </c>
      <c r="I14" s="80" t="n">
        <v>86590</v>
      </c>
      <c r="J14" s="79" t="n"/>
      <c r="K14" s="74" t="n"/>
      <c r="L14" s="74" t="n"/>
      <c r="M14" s="74" t="n"/>
    </row>
    <row r="15">
      <c r="A15" s="33" t="inlineStr">
        <is>
          <t>mool Chand yadav</t>
        </is>
      </c>
      <c r="B15" s="34" t="inlineStr">
        <is>
          <t>diesal</t>
        </is>
      </c>
      <c r="C15" s="29">
        <f>+E15/D15</f>
        <v/>
      </c>
      <c r="D15" s="79">
        <f>+VLOOKUP(B15,A$4:C$6,3,0)</f>
        <v/>
      </c>
      <c r="E15" s="81" t="n">
        <v>16773.64</v>
      </c>
      <c r="F15" s="34" t="n">
        <v>21358</v>
      </c>
      <c r="H15" s="80" t="n"/>
      <c r="I15" s="80" t="n">
        <v>33933</v>
      </c>
      <c r="J15" s="80" t="n"/>
      <c r="K15" s="72" t="n"/>
    </row>
    <row r="16">
      <c r="A16" s="33" t="inlineStr">
        <is>
          <t>Sitaram Yadav</t>
        </is>
      </c>
      <c r="B16" s="34" t="inlineStr">
        <is>
          <t>diesal</t>
        </is>
      </c>
      <c r="C16" s="29">
        <f>+E16/D16</f>
        <v/>
      </c>
      <c r="D16" s="79">
        <f>+VLOOKUP(B16,A$4:C$6,3,0)</f>
        <v/>
      </c>
      <c r="E16" s="81" t="n">
        <v>22000.41</v>
      </c>
      <c r="F16" s="34" t="n">
        <v>21359</v>
      </c>
      <c r="H16" s="79">
        <f>+H24/C4</f>
        <v/>
      </c>
      <c r="I16" s="43">
        <f>+I24/C5</f>
        <v/>
      </c>
      <c r="J16" s="43">
        <f>+J24/C6</f>
        <v/>
      </c>
      <c r="K16" s="72" t="n"/>
      <c r="M16" s="72" t="n"/>
    </row>
    <row r="17">
      <c r="A17" s="33" t="inlineStr">
        <is>
          <t>Piploda</t>
        </is>
      </c>
      <c r="B17" s="34" t="inlineStr">
        <is>
          <t>diesal</t>
        </is>
      </c>
      <c r="C17" s="29">
        <f>+E17/D17</f>
        <v/>
      </c>
      <c r="D17" s="79">
        <f>+VLOOKUP(B17,A$4:C$6,3,0)</f>
        <v/>
      </c>
      <c r="E17" s="82" t="n">
        <v>22799.67</v>
      </c>
      <c r="F17" s="34" t="n">
        <v>21360</v>
      </c>
      <c r="H17" s="72" t="n"/>
      <c r="K17" s="72" t="n"/>
    </row>
    <row r="18">
      <c r="A18" s="33" t="inlineStr">
        <is>
          <t>Shyam Tran.</t>
        </is>
      </c>
      <c r="B18" s="34" t="inlineStr">
        <is>
          <t>diesal</t>
        </is>
      </c>
      <c r="C18" s="29">
        <f>+E18/D18</f>
        <v/>
      </c>
      <c r="D18" s="79">
        <f>+VLOOKUP(B18,A$4:C$6,3,0)</f>
        <v/>
      </c>
      <c r="E18" s="82" t="n">
        <v>4150.56</v>
      </c>
      <c r="F18" s="34" t="n">
        <v>21361</v>
      </c>
    </row>
    <row r="19">
      <c r="A19" s="33" t="inlineStr">
        <is>
          <t>Shyam Tran.</t>
        </is>
      </c>
      <c r="B19" s="34" t="inlineStr">
        <is>
          <t>diesal</t>
        </is>
      </c>
      <c r="C19" s="29">
        <f>+E19/D19</f>
        <v/>
      </c>
      <c r="D19" s="79">
        <f>+VLOOKUP(B19,A$4:C$6,3,0)</f>
        <v/>
      </c>
      <c r="E19" s="82" t="n">
        <v>1969.28</v>
      </c>
      <c r="F19" s="39" t="n">
        <v>21362</v>
      </c>
      <c r="K19" s="72" t="n"/>
      <c r="M19" s="72" t="n"/>
    </row>
    <row r="20">
      <c r="A20" s="33" t="n"/>
      <c r="B20" s="34" t="inlineStr">
        <is>
          <t>diesal</t>
        </is>
      </c>
      <c r="C20" s="29">
        <f>+E20/D20</f>
        <v/>
      </c>
      <c r="D20" s="79">
        <f>+VLOOKUP(B20,A$4:C$6,3,0)</f>
        <v/>
      </c>
      <c r="E20" s="82" t="n"/>
      <c r="F20" s="79" t="n"/>
      <c r="K20" s="72" t="n"/>
    </row>
    <row r="21">
      <c r="A21" s="33" t="n"/>
      <c r="B21" s="34" t="inlineStr">
        <is>
          <t>diesal</t>
        </is>
      </c>
      <c r="C21" s="29">
        <f>+E21/D21</f>
        <v/>
      </c>
      <c r="D21" s="79">
        <f>+VLOOKUP(B21,A$4:C$6,3,0)</f>
        <v/>
      </c>
      <c r="E21" s="82" t="n"/>
      <c r="F21" s="35" t="n"/>
      <c r="H21" s="71" t="n"/>
      <c r="K21" s="72" t="n"/>
      <c r="M21" s="72" t="n"/>
    </row>
    <row r="22">
      <c r="A22" s="33" t="n"/>
      <c r="B22" s="34" t="inlineStr">
        <is>
          <t>diesal</t>
        </is>
      </c>
      <c r="C22" s="29">
        <f>+E22/D22</f>
        <v/>
      </c>
      <c r="D22" s="79">
        <f>+VLOOKUP(B22,A$4:C$6,3,0)</f>
        <v/>
      </c>
      <c r="E22" s="82" t="n"/>
      <c r="F22" s="79" t="n"/>
    </row>
    <row r="23">
      <c r="A23" s="34" t="n"/>
      <c r="B23" s="34" t="inlineStr">
        <is>
          <t>diesal</t>
        </is>
      </c>
      <c r="C23" s="29">
        <f>+E23/D23</f>
        <v/>
      </c>
      <c r="D23" s="79">
        <f>+VLOOKUP(B23,A$4:C$6,3,0)</f>
        <v/>
      </c>
      <c r="E23" s="82" t="n"/>
      <c r="F23" s="79" t="n"/>
    </row>
    <row r="24">
      <c r="A24" s="34" t="n"/>
      <c r="B24" s="34" t="inlineStr">
        <is>
          <t>diesal</t>
        </is>
      </c>
      <c r="C24" s="29">
        <f>+E24/D24</f>
        <v/>
      </c>
      <c r="D24" s="79">
        <f>+VLOOKUP(B24,A$4:C$6,3,0)</f>
        <v/>
      </c>
      <c r="E24" s="29" t="n"/>
      <c r="F24" s="79" t="n"/>
      <c r="H24" s="72" t="n"/>
      <c r="I24" s="72" t="n"/>
      <c r="J24" s="72" t="n"/>
    </row>
    <row r="25">
      <c r="A25" s="34" t="n"/>
      <c r="B25" s="34" t="inlineStr">
        <is>
          <t>diesal</t>
        </is>
      </c>
      <c r="C25" s="29">
        <f>+E25/D25</f>
        <v/>
      </c>
      <c r="D25" s="79">
        <f>+VLOOKUP(B25,A$4:C$6,3,0)</f>
        <v/>
      </c>
      <c r="E25" s="29" t="n"/>
      <c r="F25" s="79" t="n"/>
      <c r="H25" s="72" t="n"/>
    </row>
    <row r="26">
      <c r="A26" s="79" t="n"/>
      <c r="B26" s="79" t="n"/>
      <c r="C26" s="29">
        <f>SUM(C15:C25)</f>
        <v/>
      </c>
      <c r="D26" s="29" t="n"/>
      <c r="E26" s="29">
        <f>SUM(E15:E25)</f>
        <v/>
      </c>
      <c r="F26" s="79" t="n"/>
    </row>
    <row r="50">
      <c r="E50" t="n">
        <v>9</v>
      </c>
    </row>
  </sheetData>
  <mergeCells count="16">
    <mergeCell ref="O2:P2"/>
    <mergeCell ref="M2:N2"/>
    <mergeCell ref="S2:T2"/>
    <mergeCell ref="Q2:R2"/>
    <mergeCell ref="A13:F13"/>
    <mergeCell ref="G2:H2"/>
    <mergeCell ref="E2:F2"/>
    <mergeCell ref="K2:L2"/>
    <mergeCell ref="I2:J2"/>
    <mergeCell ref="U2:U3"/>
    <mergeCell ref="C2:C3"/>
    <mergeCell ref="A9:C9"/>
    <mergeCell ref="B2:B3"/>
    <mergeCell ref="A2:A3"/>
    <mergeCell ref="D2:D3"/>
    <mergeCell ref="A8:B8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X50"/>
  <sheetViews>
    <sheetView workbookViewId="0">
      <selection activeCell="A1" sqref="A1"/>
    </sheetView>
  </sheetViews>
  <sheetFormatPr baseColWidth="8" defaultColWidth="9.109375" defaultRowHeight="14.4"/>
  <cols>
    <col width="13.109375" customWidth="1" style="69" min="1" max="1"/>
    <col width="12" customWidth="1" style="69" min="2" max="2"/>
    <col width="12" customWidth="1" style="69" min="4" max="4"/>
    <col width="13.109375" customWidth="1" style="69" min="5" max="5"/>
    <col width="14" customWidth="1" style="69" min="6" max="6"/>
    <col width="10.109375" customWidth="1" style="69" min="7" max="7"/>
    <col width="10.6640625" customWidth="1" style="69" min="8" max="8"/>
    <col width="9.5546875" customWidth="1" style="69" min="9" max="9"/>
    <col width="10.6640625" customWidth="1" style="69" min="10" max="14"/>
    <col width="13.44140625" customWidth="1" style="69" min="15" max="15"/>
    <col width="11.88671875" customWidth="1" style="69" min="16" max="16"/>
    <col width="10.6640625" customWidth="1" style="69" min="18" max="18"/>
    <col width="9.5546875" customWidth="1" style="69" min="19" max="19"/>
    <col width="10.6640625" customWidth="1" style="69" min="20" max="20"/>
    <col width="9.6640625" customWidth="1" style="69" min="21" max="21"/>
    <col width="12.5546875" customWidth="1" style="69" min="23" max="23"/>
    <col width="12" customWidth="1" style="69" min="24" max="24"/>
  </cols>
  <sheetData>
    <row r="1" ht="18.6" customHeight="1" s="69"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</row>
    <row r="2" ht="18.6" customHeight="1" s="69">
      <c r="A2" s="47" t="inlineStr">
        <is>
          <t>Particular</t>
        </is>
      </c>
      <c r="B2" s="47" t="inlineStr">
        <is>
          <t>Qty</t>
        </is>
      </c>
      <c r="C2" s="47" t="inlineStr">
        <is>
          <t>Rate</t>
        </is>
      </c>
      <c r="D2" s="50" t="inlineStr">
        <is>
          <t>Amount</t>
        </is>
      </c>
      <c r="E2" s="56" t="inlineStr">
        <is>
          <t>Pos SBI</t>
        </is>
      </c>
      <c r="F2" s="57" t="n"/>
      <c r="G2" s="56" t="inlineStr">
        <is>
          <t>Paytm</t>
        </is>
      </c>
      <c r="H2" s="57" t="n"/>
      <c r="I2" s="56" t="inlineStr">
        <is>
          <t>HP Card</t>
        </is>
      </c>
      <c r="J2" s="57" t="n"/>
      <c r="K2" s="56" t="inlineStr">
        <is>
          <t>ICICI</t>
        </is>
      </c>
      <c r="L2" s="57" t="n"/>
      <c r="M2" s="56" t="inlineStr">
        <is>
          <t>phone pe</t>
        </is>
      </c>
      <c r="N2" s="57" t="n"/>
      <c r="O2" s="54" t="inlineStr">
        <is>
          <t>mobiquick</t>
        </is>
      </c>
      <c r="P2" s="55" t="n"/>
      <c r="Q2" s="56" t="inlineStr">
        <is>
          <t xml:space="preserve">CASH </t>
        </is>
      </c>
      <c r="R2" s="57" t="n"/>
      <c r="S2" s="56" t="inlineStr">
        <is>
          <t>Credit</t>
        </is>
      </c>
      <c r="T2" s="57" t="n"/>
      <c r="U2" s="45" t="inlineStr">
        <is>
          <t>Qty Diffrence</t>
        </is>
      </c>
      <c r="W2" s="2" t="n"/>
      <c r="X2" s="2" t="n"/>
    </row>
    <row r="3" ht="18.6" customHeight="1" s="69">
      <c r="A3" s="46" t="n"/>
      <c r="B3" s="46" t="n"/>
      <c r="C3" s="46" t="n"/>
      <c r="D3" s="51" t="n"/>
      <c r="E3" s="56" t="inlineStr">
        <is>
          <t>Qty</t>
        </is>
      </c>
      <c r="F3" s="41" t="inlineStr">
        <is>
          <t>Amount</t>
        </is>
      </c>
      <c r="G3" s="56" t="inlineStr">
        <is>
          <t>Qty</t>
        </is>
      </c>
      <c r="H3" s="41" t="inlineStr">
        <is>
          <t>Amount</t>
        </is>
      </c>
      <c r="I3" s="56" t="inlineStr">
        <is>
          <t>Qty</t>
        </is>
      </c>
      <c r="J3" s="41" t="inlineStr">
        <is>
          <t>Amount</t>
        </is>
      </c>
      <c r="K3" s="56" t="inlineStr">
        <is>
          <t>Qty</t>
        </is>
      </c>
      <c r="L3" s="41" t="inlineStr">
        <is>
          <t>Amount</t>
        </is>
      </c>
      <c r="M3" s="56" t="inlineStr">
        <is>
          <t>Qty</t>
        </is>
      </c>
      <c r="N3" s="41" t="inlineStr">
        <is>
          <t>Amount</t>
        </is>
      </c>
      <c r="O3" s="56" t="inlineStr">
        <is>
          <t>Qty</t>
        </is>
      </c>
      <c r="P3" s="41" t="inlineStr">
        <is>
          <t>Amount</t>
        </is>
      </c>
      <c r="Q3" s="56" t="inlineStr">
        <is>
          <t>Qty</t>
        </is>
      </c>
      <c r="R3" s="41" t="inlineStr">
        <is>
          <t>Amount</t>
        </is>
      </c>
      <c r="S3" s="56" t="inlineStr">
        <is>
          <t>Qty</t>
        </is>
      </c>
      <c r="T3" s="41" t="inlineStr">
        <is>
          <t>Amount</t>
        </is>
      </c>
      <c r="U3" s="46" t="n"/>
      <c r="W3" s="2" t="inlineStr">
        <is>
          <t>diesal</t>
        </is>
      </c>
      <c r="X3" s="2">
        <f>+SUMIFS(C15:C25,B15:B25,W3)</f>
        <v/>
      </c>
    </row>
    <row r="4" customFormat="1" s="2">
      <c r="A4" s="3" t="inlineStr">
        <is>
          <t>Petrol</t>
        </is>
      </c>
      <c r="B4" s="12">
        <f>+(H13+H14+H15)/$C$4</f>
        <v/>
      </c>
      <c r="C4" s="4" t="n">
        <v>104.71</v>
      </c>
      <c r="D4" s="5">
        <f>B4*C4</f>
        <v/>
      </c>
      <c r="E4" s="6" t="n">
        <v>0</v>
      </c>
      <c r="F4" s="7">
        <f>+E4*C4</f>
        <v/>
      </c>
      <c r="G4" s="9">
        <f>+(H8*60%)/$C$4</f>
        <v/>
      </c>
      <c r="H4" s="7">
        <f>+G4*C4</f>
        <v/>
      </c>
      <c r="I4" s="6">
        <f>J4/C4</f>
        <v/>
      </c>
      <c r="J4" s="7" t="n">
        <v>0</v>
      </c>
      <c r="K4" s="8">
        <f>+L8/$C$4</f>
        <v/>
      </c>
      <c r="L4" s="7">
        <f>+K4*C4</f>
        <v/>
      </c>
      <c r="M4" s="9">
        <f>+(N8*60%)/$C$4</f>
        <v/>
      </c>
      <c r="N4" s="7">
        <f>+M4*C4</f>
        <v/>
      </c>
      <c r="O4" s="9" t="n"/>
      <c r="P4" s="7">
        <f>+O4*C4</f>
        <v/>
      </c>
      <c r="Q4" s="6" t="n">
        <v>626.449584566899</v>
      </c>
      <c r="R4" s="7">
        <f>+Q4*C4</f>
        <v/>
      </c>
      <c r="S4" s="10">
        <f>+X4</f>
        <v/>
      </c>
      <c r="T4" s="7">
        <f>+S4*C4</f>
        <v/>
      </c>
      <c r="U4" s="11">
        <f>+B4-E4-G4-Q4-S4-K4-I4-M4-O4</f>
        <v/>
      </c>
      <c r="W4" t="inlineStr">
        <is>
          <t>petrol</t>
        </is>
      </c>
      <c r="X4" s="2">
        <f>+SUMIFS(C15:C26,B15:B26,W4)</f>
        <v/>
      </c>
    </row>
    <row r="5" customFormat="1" s="2">
      <c r="A5" s="3" t="inlineStr">
        <is>
          <t>Diesal</t>
        </is>
      </c>
      <c r="B5" s="12">
        <f>+(I13+I14+I15)/$C$5</f>
        <v/>
      </c>
      <c r="C5" s="4" t="n">
        <v>90.20999999999999</v>
      </c>
      <c r="D5" s="5">
        <f>B5*C5</f>
        <v/>
      </c>
      <c r="E5" s="6" t="n">
        <v>0</v>
      </c>
      <c r="F5" s="7">
        <f>+E5*C5</f>
        <v/>
      </c>
      <c r="G5" s="6">
        <f>+(H8*40%)/$C$5</f>
        <v/>
      </c>
      <c r="H5" s="7">
        <f>+G5*C5</f>
        <v/>
      </c>
      <c r="I5" s="6">
        <f>+J8/C5</f>
        <v/>
      </c>
      <c r="J5" s="7">
        <f>+I5*C5</f>
        <v/>
      </c>
      <c r="K5" s="6" t="n">
        <v>0</v>
      </c>
      <c r="L5" s="7">
        <f>+K5*C5</f>
        <v/>
      </c>
      <c r="M5" s="6">
        <f>+(N8*40%)/$C$5</f>
        <v/>
      </c>
      <c r="N5" s="7">
        <f>+M5*C5</f>
        <v/>
      </c>
      <c r="O5" s="9">
        <f>+P8/C5</f>
        <v/>
      </c>
      <c r="P5" s="7">
        <f>+O5*C5</f>
        <v/>
      </c>
      <c r="Q5" s="6" t="n">
        <v>814.5078594390868</v>
      </c>
      <c r="R5" s="7">
        <f>+Q5*C5</f>
        <v/>
      </c>
      <c r="S5" s="10">
        <f>+X3</f>
        <v/>
      </c>
      <c r="T5" s="7">
        <f>+S5*C5</f>
        <v/>
      </c>
      <c r="U5" s="11">
        <f>+B5-E5-G5-Q5-S5-K5-I5-M5-O5</f>
        <v/>
      </c>
      <c r="W5" t="inlineStr">
        <is>
          <t>Petrol Power</t>
        </is>
      </c>
      <c r="X5" s="2">
        <f>+SUMIFS(C17:C27,B17:B27,W5)</f>
        <v/>
      </c>
    </row>
    <row r="6" customFormat="1" s="2">
      <c r="A6" s="3" t="inlineStr">
        <is>
          <t>Petrol Power</t>
        </is>
      </c>
      <c r="B6" s="12">
        <f>+(J13+J14+J15)/$C$6</f>
        <v/>
      </c>
      <c r="C6" s="4" t="n">
        <v>112.8</v>
      </c>
      <c r="D6" s="5">
        <f>B6*C6</f>
        <v/>
      </c>
      <c r="E6" s="6" t="n">
        <v>0</v>
      </c>
      <c r="F6" s="7">
        <f>+E6*C6</f>
        <v/>
      </c>
      <c r="G6" s="6" t="n"/>
      <c r="H6" s="7">
        <f>+G6*C6</f>
        <v/>
      </c>
      <c r="I6" s="6" t="n">
        <v>0</v>
      </c>
      <c r="J6" s="7">
        <f>+I6*C6</f>
        <v/>
      </c>
      <c r="K6" s="6" t="n">
        <v>0</v>
      </c>
      <c r="L6" s="7">
        <f>+K6*C6</f>
        <v/>
      </c>
      <c r="M6" s="9" t="n">
        <v>0</v>
      </c>
      <c r="N6" s="7">
        <f>+M6*C6</f>
        <v/>
      </c>
      <c r="O6" s="9" t="n"/>
      <c r="P6" s="7">
        <f>+O6*C6</f>
        <v/>
      </c>
      <c r="Q6" s="6" t="n">
        <v>4.033687943262412</v>
      </c>
      <c r="R6" s="7">
        <f>+Q6*C6</f>
        <v/>
      </c>
      <c r="S6" s="10">
        <f>+X5</f>
        <v/>
      </c>
      <c r="T6" s="7">
        <f>+S6*C6</f>
        <v/>
      </c>
      <c r="U6" s="11">
        <f>+B6-E6-G6-Q6-S6-K6-I6-M6-O6</f>
        <v/>
      </c>
    </row>
    <row r="7" customFormat="1" s="2">
      <c r="A7" s="3" t="n"/>
      <c r="B7" s="38">
        <f>SUM(B4:B6)</f>
        <v/>
      </c>
      <c r="C7" s="3" t="n"/>
      <c r="D7" s="13">
        <f>SUM(D4:D6)</f>
        <v/>
      </c>
      <c r="E7" s="14">
        <f>SUM(E4:E6)</f>
        <v/>
      </c>
      <c r="F7" s="15">
        <f>SUM(F4:F6)</f>
        <v/>
      </c>
      <c r="G7" s="14">
        <f>SUM(G4:G6)</f>
        <v/>
      </c>
      <c r="H7" s="15">
        <f>SUM(H4:H6)</f>
        <v/>
      </c>
      <c r="I7" s="14">
        <f>SUM(I4:I6)</f>
        <v/>
      </c>
      <c r="J7" s="15">
        <f>SUM(J4:J6)</f>
        <v/>
      </c>
      <c r="K7" s="14">
        <f>SUM(K4:K6)</f>
        <v/>
      </c>
      <c r="L7" s="15">
        <f>SUM(L4:L6)</f>
        <v/>
      </c>
      <c r="M7" s="14">
        <f>SUM(M4:M6)</f>
        <v/>
      </c>
      <c r="N7" s="15">
        <f>SUM(N4:N6)</f>
        <v/>
      </c>
      <c r="O7" s="14">
        <f>SUM(O4:O6)</f>
        <v/>
      </c>
      <c r="P7" s="15">
        <f>SUM(P4:P6)</f>
        <v/>
      </c>
      <c r="Q7" s="14">
        <f>SUM(Q4:Q6)</f>
        <v/>
      </c>
      <c r="R7" s="15">
        <f>SUM(R4:R6)</f>
        <v/>
      </c>
      <c r="S7" s="14">
        <f>SUM(S4:S6)</f>
        <v/>
      </c>
      <c r="T7" s="15">
        <f>SUM(T4:T6)</f>
        <v/>
      </c>
      <c r="U7" s="11">
        <f>+B7-E7-G7-Q7-S7-K7-I7-M7-O7</f>
        <v/>
      </c>
    </row>
    <row r="8" ht="15" customFormat="1" customHeight="1" s="2" thickBot="1">
      <c r="A8" s="52" t="inlineStr">
        <is>
          <t>Actual Amount</t>
        </is>
      </c>
      <c r="B8" s="53" t="n"/>
      <c r="C8" s="16" t="n"/>
      <c r="D8" s="17" t="n"/>
      <c r="E8" s="18" t="n"/>
      <c r="F8" s="19" t="n">
        <v>0</v>
      </c>
      <c r="G8" s="18" t="n"/>
      <c r="H8" s="19" t="n">
        <v>71093.37</v>
      </c>
      <c r="I8" s="18" t="n"/>
      <c r="J8" s="19" t="n">
        <v>210</v>
      </c>
      <c r="K8" s="18" t="n"/>
      <c r="L8" s="19" t="n">
        <v>35789.07</v>
      </c>
      <c r="M8" s="20" t="n"/>
      <c r="N8" s="19" t="n">
        <v>98415.62</v>
      </c>
      <c r="O8" s="20" t="inlineStr"/>
      <c r="P8" s="19" t="n">
        <v>0</v>
      </c>
      <c r="Q8" s="18" t="n">
        <v>0</v>
      </c>
      <c r="R8" s="19" t="n">
        <v>136027</v>
      </c>
      <c r="S8" s="18" t="n"/>
      <c r="T8" s="19" t="n">
        <v>5070.65</v>
      </c>
      <c r="U8" s="17" t="n"/>
    </row>
    <row r="9" ht="15.6" customHeight="1" s="69" thickBot="1" thickTop="1">
      <c r="A9" s="48" t="inlineStr">
        <is>
          <t>Diffrence should be zero</t>
        </is>
      </c>
      <c r="B9" s="49" t="n"/>
      <c r="C9" s="49" t="n"/>
      <c r="D9" s="21" t="n"/>
      <c r="E9" s="21" t="n"/>
      <c r="F9" s="22">
        <f>+F7-F8</f>
        <v/>
      </c>
      <c r="G9" s="21" t="n"/>
      <c r="H9" s="22">
        <f>+H7-H8</f>
        <v/>
      </c>
      <c r="I9" s="21" t="n"/>
      <c r="J9" s="22">
        <f>+J7-J8</f>
        <v/>
      </c>
      <c r="K9" s="21" t="n"/>
      <c r="L9" s="22">
        <f>+L7-L8</f>
        <v/>
      </c>
      <c r="M9" s="22" t="n"/>
      <c r="N9" s="22">
        <f>+N7-N8</f>
        <v/>
      </c>
      <c r="O9" s="22" t="n"/>
      <c r="P9" s="22">
        <f>+P7-P8</f>
        <v/>
      </c>
      <c r="Q9" s="21" t="n"/>
      <c r="R9" s="22">
        <f>+R7-R8</f>
        <v/>
      </c>
      <c r="S9" s="21" t="n"/>
      <c r="T9" s="22">
        <f>+T7-T8</f>
        <v/>
      </c>
      <c r="U9" s="23" t="n"/>
    </row>
    <row r="10" ht="15" customHeight="1" s="69" thickTop="1">
      <c r="A10" s="24" t="n"/>
      <c r="B10" s="24" t="n">
        <v>0</v>
      </c>
      <c r="C10" s="24" t="n"/>
      <c r="D10" s="2" t="n"/>
      <c r="E10" s="2" t="n"/>
      <c r="F10" s="25" t="n"/>
      <c r="G10" s="2" t="n"/>
      <c r="H10" s="25" t="n"/>
      <c r="I10" s="2" t="n"/>
      <c r="J10" s="25" t="n"/>
      <c r="K10" s="2" t="n"/>
      <c r="L10" s="6" t="n"/>
      <c r="M10" s="2" t="n"/>
      <c r="N10" s="25" t="n"/>
      <c r="O10" s="25" t="n"/>
      <c r="P10" s="25" t="n"/>
      <c r="Q10" s="25" t="n"/>
      <c r="R10" s="25" t="n"/>
      <c r="S10" s="2" t="n"/>
      <c r="T10" s="25" t="n"/>
      <c r="U10" s="2" t="n"/>
    </row>
    <row r="11">
      <c r="A11" s="26" t="inlineStr">
        <is>
          <t>sales value diff</t>
        </is>
      </c>
      <c r="D11" s="27">
        <f>+D7-F8-H8-L8-J8-R8-T8-N8-P8</f>
        <v/>
      </c>
      <c r="F11" s="72" t="n"/>
      <c r="M11" s="72" t="n"/>
    </row>
    <row r="12">
      <c r="F12" s="72" t="n"/>
      <c r="G12" s="72" t="n"/>
      <c r="H12" s="29" t="inlineStr">
        <is>
          <t>Petrol</t>
        </is>
      </c>
      <c r="I12" s="29" t="inlineStr">
        <is>
          <t>Diesal</t>
        </is>
      </c>
      <c r="J12" s="29" t="inlineStr">
        <is>
          <t>Power</t>
        </is>
      </c>
    </row>
    <row r="13">
      <c r="A13" s="58" t="inlineStr">
        <is>
          <t>CREDIT DETAIL</t>
        </is>
      </c>
      <c r="B13" s="59" t="n"/>
      <c r="C13" s="59" t="n"/>
      <c r="D13" s="59" t="n"/>
      <c r="E13" s="59" t="n"/>
      <c r="F13" s="57" t="n"/>
      <c r="H13" s="79" t="n">
        <v>61868</v>
      </c>
      <c r="I13" s="80" t="n">
        <v>50329</v>
      </c>
      <c r="J13" s="79" t="n">
        <v>455</v>
      </c>
    </row>
    <row r="14">
      <c r="A14" s="29" t="inlineStr">
        <is>
          <t>particular</t>
        </is>
      </c>
      <c r="B14" s="29" t="inlineStr">
        <is>
          <t xml:space="preserve">Type </t>
        </is>
      </c>
      <c r="C14" s="31" t="inlineStr">
        <is>
          <t>QTY</t>
        </is>
      </c>
      <c r="D14" s="31" t="inlineStr">
        <is>
          <t>RATE</t>
        </is>
      </c>
      <c r="E14" s="31" t="inlineStr">
        <is>
          <t>AMOUNT</t>
        </is>
      </c>
      <c r="F14" s="32" t="inlineStr">
        <is>
          <t>inv no</t>
        </is>
      </c>
      <c r="H14" s="79" t="n">
        <v>141222</v>
      </c>
      <c r="I14" s="80" t="n">
        <v>960</v>
      </c>
      <c r="J14" s="79" t="n"/>
      <c r="K14" s="74" t="n"/>
      <c r="L14" s="74" t="n"/>
      <c r="M14" s="74" t="n"/>
    </row>
    <row r="15">
      <c r="A15" s="33" t="inlineStr">
        <is>
          <t>mool Chand yadav</t>
        </is>
      </c>
      <c r="B15" s="34" t="inlineStr">
        <is>
          <t>diesal</t>
        </is>
      </c>
      <c r="C15" s="29">
        <f>+E15/D15</f>
        <v/>
      </c>
      <c r="D15" s="79">
        <f>+VLOOKUP(B15,A$4:C$6,3,0)</f>
        <v/>
      </c>
      <c r="E15" s="81" t="n">
        <v>1570.65</v>
      </c>
      <c r="F15" s="34" t="n">
        <v>21363</v>
      </c>
      <c r="H15" s="80" t="n"/>
      <c r="I15" s="80" t="n">
        <v>91772</v>
      </c>
      <c r="J15" s="80" t="n"/>
      <c r="K15" s="72" t="n"/>
    </row>
    <row r="16">
      <c r="A16" s="33" t="n"/>
      <c r="B16" s="34" t="inlineStr">
        <is>
          <t>diesal</t>
        </is>
      </c>
      <c r="C16" s="29">
        <f>+E16/D16</f>
        <v/>
      </c>
      <c r="D16" s="79">
        <f>+VLOOKUP(B16,A$4:C$6,3,0)</f>
        <v/>
      </c>
      <c r="E16" s="81" t="n"/>
      <c r="F16" s="34" t="n"/>
      <c r="H16" s="79">
        <f>+H24/C4</f>
        <v/>
      </c>
      <c r="I16" s="43">
        <f>+I24/C5</f>
        <v/>
      </c>
      <c r="J16" s="43">
        <f>+J24/C6</f>
        <v/>
      </c>
      <c r="K16" s="72" t="n"/>
      <c r="M16" s="72" t="n"/>
    </row>
    <row r="17">
      <c r="A17" s="33" t="n"/>
      <c r="B17" s="34" t="inlineStr">
        <is>
          <t>diesal</t>
        </is>
      </c>
      <c r="C17" s="29">
        <f>+E17/D17</f>
        <v/>
      </c>
      <c r="D17" s="79">
        <f>+VLOOKUP(B17,A$4:C$6,3,0)</f>
        <v/>
      </c>
      <c r="E17" s="82" t="n"/>
      <c r="F17" s="34" t="n"/>
      <c r="H17" s="72" t="n"/>
      <c r="K17" s="72" t="n"/>
    </row>
    <row r="18">
      <c r="A18" s="33" t="n"/>
      <c r="B18" s="34" t="inlineStr">
        <is>
          <t>diesal</t>
        </is>
      </c>
      <c r="C18" s="29">
        <f>+E18/D18</f>
        <v/>
      </c>
      <c r="D18" s="79">
        <f>+VLOOKUP(B18,A$4:C$6,3,0)</f>
        <v/>
      </c>
      <c r="E18" s="82" t="n"/>
      <c r="F18" s="34" t="n"/>
    </row>
    <row r="19">
      <c r="A19" s="33" t="n"/>
      <c r="B19" s="34" t="inlineStr">
        <is>
          <t>diesal</t>
        </is>
      </c>
      <c r="C19" s="29">
        <f>+E19/D19</f>
        <v/>
      </c>
      <c r="D19" s="79">
        <f>+VLOOKUP(B19,A$4:C$6,3,0)</f>
        <v/>
      </c>
      <c r="E19" s="82" t="n"/>
      <c r="F19" s="39" t="n"/>
      <c r="K19" s="72" t="n"/>
      <c r="M19" s="72" t="n"/>
    </row>
    <row r="20">
      <c r="A20" s="33" t="n"/>
      <c r="B20" s="34" t="inlineStr">
        <is>
          <t>diesal</t>
        </is>
      </c>
      <c r="C20" s="29">
        <f>+E20/D20</f>
        <v/>
      </c>
      <c r="D20" s="79">
        <f>+VLOOKUP(B20,A$4:C$6,3,0)</f>
        <v/>
      </c>
      <c r="E20" s="82" t="n"/>
      <c r="F20" s="79" t="n"/>
      <c r="K20" s="72" t="n"/>
    </row>
    <row r="21">
      <c r="A21" s="33" t="n"/>
      <c r="B21" s="34" t="inlineStr">
        <is>
          <t>diesal</t>
        </is>
      </c>
      <c r="C21" s="29">
        <f>+E21/D21</f>
        <v/>
      </c>
      <c r="D21" s="79">
        <f>+VLOOKUP(B21,A$4:C$6,3,0)</f>
        <v/>
      </c>
      <c r="E21" s="82" t="n"/>
      <c r="F21" s="35" t="n"/>
      <c r="H21" s="71" t="n"/>
      <c r="K21" s="72" t="n"/>
      <c r="M21" s="72" t="n"/>
    </row>
    <row r="22">
      <c r="A22" s="33" t="n"/>
      <c r="B22" s="34" t="inlineStr">
        <is>
          <t>diesal</t>
        </is>
      </c>
      <c r="C22" s="29">
        <f>+E22/D22</f>
        <v/>
      </c>
      <c r="D22" s="79">
        <f>+VLOOKUP(B22,A$4:C$6,3,0)</f>
        <v/>
      </c>
      <c r="E22" s="82" t="n"/>
      <c r="F22" s="79" t="n"/>
    </row>
    <row r="23">
      <c r="A23" s="34" t="n"/>
      <c r="B23" s="34" t="inlineStr">
        <is>
          <t>diesal</t>
        </is>
      </c>
      <c r="C23" s="29">
        <f>+E23/D23</f>
        <v/>
      </c>
      <c r="D23" s="79">
        <f>+VLOOKUP(B23,A$4:C$6,3,0)</f>
        <v/>
      </c>
      <c r="E23" s="82" t="n"/>
      <c r="F23" s="79" t="n"/>
    </row>
    <row r="24">
      <c r="A24" s="34" t="n"/>
      <c r="B24" s="34" t="inlineStr">
        <is>
          <t>diesal</t>
        </is>
      </c>
      <c r="C24" s="29">
        <f>+E24/D24</f>
        <v/>
      </c>
      <c r="D24" s="79">
        <f>+VLOOKUP(B24,A$4:C$6,3,0)</f>
        <v/>
      </c>
      <c r="E24" s="29" t="n"/>
      <c r="F24" s="79" t="n"/>
      <c r="H24" s="72" t="n"/>
      <c r="I24" s="72" t="n"/>
      <c r="J24" s="72" t="n"/>
    </row>
    <row r="25">
      <c r="A25" s="34" t="n"/>
      <c r="B25" s="34" t="inlineStr">
        <is>
          <t>diesal</t>
        </is>
      </c>
      <c r="C25" s="29">
        <f>+E25/D25</f>
        <v/>
      </c>
      <c r="D25" s="79">
        <f>+VLOOKUP(B25,A$4:C$6,3,0)</f>
        <v/>
      </c>
      <c r="E25" s="29" t="n"/>
      <c r="F25" s="79" t="n"/>
      <c r="H25" s="72" t="n"/>
    </row>
    <row r="26">
      <c r="A26" s="79" t="n"/>
      <c r="B26" s="79" t="n"/>
      <c r="C26" s="29">
        <f>SUM(C15:C25)</f>
        <v/>
      </c>
      <c r="D26" s="29" t="n"/>
      <c r="E26" s="29">
        <f>SUM(E15:E25)</f>
        <v/>
      </c>
      <c r="F26" s="79" t="n"/>
    </row>
    <row r="50">
      <c r="E50" t="n">
        <v>9</v>
      </c>
    </row>
  </sheetData>
  <mergeCells count="16">
    <mergeCell ref="O2:P2"/>
    <mergeCell ref="M2:N2"/>
    <mergeCell ref="S2:T2"/>
    <mergeCell ref="Q2:R2"/>
    <mergeCell ref="A13:F13"/>
    <mergeCell ref="G2:H2"/>
    <mergeCell ref="E2:F2"/>
    <mergeCell ref="K2:L2"/>
    <mergeCell ref="I2:J2"/>
    <mergeCell ref="U2:U3"/>
    <mergeCell ref="C2:C3"/>
    <mergeCell ref="A9:C9"/>
    <mergeCell ref="B2:B3"/>
    <mergeCell ref="A2:A3"/>
    <mergeCell ref="D2:D3"/>
    <mergeCell ref="A8:B8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X50"/>
  <sheetViews>
    <sheetView workbookViewId="0">
      <selection activeCell="A1" sqref="A1"/>
    </sheetView>
  </sheetViews>
  <sheetFormatPr baseColWidth="8" defaultColWidth="9.109375" defaultRowHeight="14.4"/>
  <cols>
    <col width="13.109375" customWidth="1" style="69" min="1" max="1"/>
    <col width="12" customWidth="1" style="69" min="2" max="2"/>
    <col width="12" customWidth="1" style="69" min="4" max="4"/>
    <col width="13.109375" customWidth="1" style="69" min="5" max="5"/>
    <col width="14" customWidth="1" style="69" min="6" max="6"/>
    <col width="10.109375" customWidth="1" style="69" min="7" max="7"/>
    <col width="10.6640625" customWidth="1" style="69" min="8" max="8"/>
    <col width="9.5546875" customWidth="1" style="69" min="9" max="9"/>
    <col width="10.6640625" customWidth="1" style="69" min="10" max="14"/>
    <col width="13.44140625" customWidth="1" style="69" min="15" max="15"/>
    <col width="11.88671875" customWidth="1" style="69" min="16" max="16"/>
    <col width="10.6640625" customWidth="1" style="69" min="18" max="18"/>
    <col width="9.5546875" customWidth="1" style="69" min="19" max="19"/>
    <col width="10.6640625" customWidth="1" style="69" min="20" max="20"/>
    <col width="9.6640625" customWidth="1" style="69" min="21" max="21"/>
    <col width="12.5546875" customWidth="1" style="69" min="23" max="23"/>
    <col width="12" customWidth="1" style="69" min="24" max="24"/>
  </cols>
  <sheetData>
    <row r="1" ht="18.6" customHeight="1" s="69"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</row>
    <row r="2" ht="18.6" customHeight="1" s="69">
      <c r="A2" s="47" t="inlineStr">
        <is>
          <t>Particular</t>
        </is>
      </c>
      <c r="B2" s="47" t="inlineStr">
        <is>
          <t>Qty</t>
        </is>
      </c>
      <c r="C2" s="47" t="inlineStr">
        <is>
          <t>Rate</t>
        </is>
      </c>
      <c r="D2" s="50" t="inlineStr">
        <is>
          <t>Amount</t>
        </is>
      </c>
      <c r="E2" s="56" t="inlineStr">
        <is>
          <t>Pos SBI</t>
        </is>
      </c>
      <c r="F2" s="57" t="n"/>
      <c r="G2" s="56" t="inlineStr">
        <is>
          <t>Paytm</t>
        </is>
      </c>
      <c r="H2" s="57" t="n"/>
      <c r="I2" s="56" t="inlineStr">
        <is>
          <t>HP Card</t>
        </is>
      </c>
      <c r="J2" s="57" t="n"/>
      <c r="K2" s="56" t="inlineStr">
        <is>
          <t>ICICI</t>
        </is>
      </c>
      <c r="L2" s="57" t="n"/>
      <c r="M2" s="56" t="inlineStr">
        <is>
          <t>phone pe</t>
        </is>
      </c>
      <c r="N2" s="57" t="n"/>
      <c r="O2" s="54" t="inlineStr">
        <is>
          <t>mobiquick</t>
        </is>
      </c>
      <c r="P2" s="55" t="n"/>
      <c r="Q2" s="56" t="inlineStr">
        <is>
          <t xml:space="preserve">CASH </t>
        </is>
      </c>
      <c r="R2" s="57" t="n"/>
      <c r="S2" s="56" t="inlineStr">
        <is>
          <t>Credit</t>
        </is>
      </c>
      <c r="T2" s="57" t="n"/>
      <c r="U2" s="45" t="inlineStr">
        <is>
          <t>Qty Diffrence</t>
        </is>
      </c>
      <c r="W2" s="2" t="n"/>
      <c r="X2" s="2" t="n"/>
    </row>
    <row r="3" ht="18.6" customHeight="1" s="69">
      <c r="A3" s="46" t="n"/>
      <c r="B3" s="46" t="n"/>
      <c r="C3" s="46" t="n"/>
      <c r="D3" s="51" t="n"/>
      <c r="E3" s="56" t="inlineStr">
        <is>
          <t>Qty</t>
        </is>
      </c>
      <c r="F3" s="41" t="inlineStr">
        <is>
          <t>Amount</t>
        </is>
      </c>
      <c r="G3" s="56" t="inlineStr">
        <is>
          <t>Qty</t>
        </is>
      </c>
      <c r="H3" s="41" t="inlineStr">
        <is>
          <t>Amount</t>
        </is>
      </c>
      <c r="I3" s="56" t="inlineStr">
        <is>
          <t>Qty</t>
        </is>
      </c>
      <c r="J3" s="41" t="inlineStr">
        <is>
          <t>Amount</t>
        </is>
      </c>
      <c r="K3" s="56" t="inlineStr">
        <is>
          <t>Qty</t>
        </is>
      </c>
      <c r="L3" s="41" t="inlineStr">
        <is>
          <t>Amount</t>
        </is>
      </c>
      <c r="M3" s="56" t="inlineStr">
        <is>
          <t>Qty</t>
        </is>
      </c>
      <c r="N3" s="41" t="inlineStr">
        <is>
          <t>Amount</t>
        </is>
      </c>
      <c r="O3" s="56" t="inlineStr">
        <is>
          <t>Qty</t>
        </is>
      </c>
      <c r="P3" s="41" t="inlineStr">
        <is>
          <t>Amount</t>
        </is>
      </c>
      <c r="Q3" s="56" t="inlineStr">
        <is>
          <t>Qty</t>
        </is>
      </c>
      <c r="R3" s="41" t="inlineStr">
        <is>
          <t>Amount</t>
        </is>
      </c>
      <c r="S3" s="56" t="inlineStr">
        <is>
          <t>Qty</t>
        </is>
      </c>
      <c r="T3" s="41" t="inlineStr">
        <is>
          <t>Amount</t>
        </is>
      </c>
      <c r="U3" s="46" t="n"/>
      <c r="W3" s="2" t="inlineStr">
        <is>
          <t>diesal</t>
        </is>
      </c>
      <c r="X3" s="2">
        <f>+SUMIFS(C15:C25,B15:B25,W3)</f>
        <v/>
      </c>
    </row>
    <row r="4" customFormat="1" s="2">
      <c r="A4" s="3" t="inlineStr">
        <is>
          <t>Petrol</t>
        </is>
      </c>
      <c r="B4" s="12">
        <f>+(H13+H14+H15)/$C$4</f>
        <v/>
      </c>
      <c r="C4" s="4" t="n">
        <v>104.71</v>
      </c>
      <c r="D4" s="5">
        <f>B4*C4</f>
        <v/>
      </c>
      <c r="E4" s="6" t="n">
        <v>0</v>
      </c>
      <c r="F4" s="7">
        <f>+E4*C4</f>
        <v/>
      </c>
      <c r="G4" s="9">
        <f>+(H8*60%)/$C$4</f>
        <v/>
      </c>
      <c r="H4" s="7">
        <f>+G4*C4</f>
        <v/>
      </c>
      <c r="I4" s="6">
        <f>J4/C4</f>
        <v/>
      </c>
      <c r="J4" s="7" t="n">
        <v>0</v>
      </c>
      <c r="K4" s="8">
        <f>+L8/$C$4</f>
        <v/>
      </c>
      <c r="L4" s="7">
        <f>+K4*C4</f>
        <v/>
      </c>
      <c r="M4" s="9">
        <f>+(N8*60%)/$C$4</f>
        <v/>
      </c>
      <c r="N4" s="7">
        <f>+M4*C4</f>
        <v/>
      </c>
      <c r="O4" s="9" t="n"/>
      <c r="P4" s="7">
        <f>+O4*C4</f>
        <v/>
      </c>
      <c r="Q4" s="6" t="n">
        <v>893.261235794098</v>
      </c>
      <c r="R4" s="7">
        <f>+Q4*C4</f>
        <v/>
      </c>
      <c r="S4" s="10">
        <f>+X4</f>
        <v/>
      </c>
      <c r="T4" s="7">
        <f>+S4*C4</f>
        <v/>
      </c>
      <c r="U4" s="11">
        <f>+B4-E4-G4-Q4-S4-K4-I4-M4-O4</f>
        <v/>
      </c>
      <c r="W4" t="inlineStr">
        <is>
          <t>petrol</t>
        </is>
      </c>
      <c r="X4" s="2">
        <f>+SUMIFS(C15:C26,B15:B26,W4)</f>
        <v/>
      </c>
    </row>
    <row r="5" customFormat="1" s="2">
      <c r="A5" s="3" t="inlineStr">
        <is>
          <t>Diesal</t>
        </is>
      </c>
      <c r="B5" s="12">
        <f>+(I13+I14+I15)/$C$5</f>
        <v/>
      </c>
      <c r="C5" s="4" t="n">
        <v>90.20999999999999</v>
      </c>
      <c r="D5" s="5">
        <f>B5*C5</f>
        <v/>
      </c>
      <c r="E5" s="6" t="n">
        <v>0</v>
      </c>
      <c r="F5" s="7">
        <f>+E5*C5</f>
        <v/>
      </c>
      <c r="G5" s="6">
        <f>+(H8*40%)/$C$5</f>
        <v/>
      </c>
      <c r="H5" s="7">
        <f>+G5*C5</f>
        <v/>
      </c>
      <c r="I5" s="6">
        <f>+J8/C5</f>
        <v/>
      </c>
      <c r="J5" s="7">
        <f>+I5*C5</f>
        <v/>
      </c>
      <c r="K5" s="6" t="n">
        <v>0</v>
      </c>
      <c r="L5" s="7">
        <f>+K5*C5</f>
        <v/>
      </c>
      <c r="M5" s="6">
        <f>+(N8*40%)/$C$5</f>
        <v/>
      </c>
      <c r="N5" s="7">
        <f>+M5*C5</f>
        <v/>
      </c>
      <c r="O5" s="9">
        <f>+P8/C5</f>
        <v/>
      </c>
      <c r="P5" s="7">
        <f>+O5*C5</f>
        <v/>
      </c>
      <c r="Q5" s="6" t="n">
        <v>1738.377075712227</v>
      </c>
      <c r="R5" s="7">
        <f>+Q5*C5</f>
        <v/>
      </c>
      <c r="S5" s="10">
        <f>+X3</f>
        <v/>
      </c>
      <c r="T5" s="7">
        <f>+S5*C5</f>
        <v/>
      </c>
      <c r="U5" s="11">
        <f>+B5-E5-G5-Q5-S5-K5-I5-M5-O5</f>
        <v/>
      </c>
      <c r="W5" t="inlineStr">
        <is>
          <t>Petrol Power</t>
        </is>
      </c>
      <c r="X5" s="2">
        <f>+SUMIFS(C17:C27,B17:B27,W5)</f>
        <v/>
      </c>
    </row>
    <row r="6" customFormat="1" s="2">
      <c r="A6" s="3" t="inlineStr">
        <is>
          <t>Petrol Power</t>
        </is>
      </c>
      <c r="B6" s="12">
        <f>+(J13+J14+J15)/$C$6</f>
        <v/>
      </c>
      <c r="C6" s="4" t="n">
        <v>112.8</v>
      </c>
      <c r="D6" s="5">
        <f>B6*C6</f>
        <v/>
      </c>
      <c r="E6" s="6" t="n">
        <v>0</v>
      </c>
      <c r="F6" s="7">
        <f>+E6*C6</f>
        <v/>
      </c>
      <c r="G6" s="6" t="n"/>
      <c r="H6" s="7">
        <f>+G6*C6</f>
        <v/>
      </c>
      <c r="I6" s="6" t="n">
        <v>0</v>
      </c>
      <c r="J6" s="7">
        <f>+I6*C6</f>
        <v/>
      </c>
      <c r="K6" s="6" t="n">
        <v>0</v>
      </c>
      <c r="L6" s="7">
        <f>+K6*C6</f>
        <v/>
      </c>
      <c r="M6" s="9" t="n">
        <v>0</v>
      </c>
      <c r="N6" s="7">
        <f>+M6*C6</f>
        <v/>
      </c>
      <c r="O6" s="9" t="n"/>
      <c r="P6" s="7">
        <f>+O6*C6</f>
        <v/>
      </c>
      <c r="Q6" s="6" t="n">
        <v>38.14716312056738</v>
      </c>
      <c r="R6" s="7">
        <f>+Q6*C6</f>
        <v/>
      </c>
      <c r="S6" s="10">
        <f>+X5</f>
        <v/>
      </c>
      <c r="T6" s="7">
        <f>+S6*C6</f>
        <v/>
      </c>
      <c r="U6" s="11">
        <f>+B6-E6-G6-Q6-S6-K6-I6-M6-O6</f>
        <v/>
      </c>
    </row>
    <row r="7" customFormat="1" s="2">
      <c r="A7" s="3" t="n"/>
      <c r="B7" s="38">
        <f>SUM(B4:B6)</f>
        <v/>
      </c>
      <c r="C7" s="3" t="n"/>
      <c r="D7" s="13">
        <f>SUM(D4:D6)</f>
        <v/>
      </c>
      <c r="E7" s="14">
        <f>SUM(E4:E6)</f>
        <v/>
      </c>
      <c r="F7" s="15">
        <f>SUM(F4:F6)</f>
        <v/>
      </c>
      <c r="G7" s="14">
        <f>SUM(G4:G6)</f>
        <v/>
      </c>
      <c r="H7" s="15">
        <f>SUM(H4:H6)</f>
        <v/>
      </c>
      <c r="I7" s="14">
        <f>SUM(I4:I6)</f>
        <v/>
      </c>
      <c r="J7" s="15">
        <f>SUM(J4:J6)</f>
        <v/>
      </c>
      <c r="K7" s="14">
        <f>SUM(K4:K6)</f>
        <v/>
      </c>
      <c r="L7" s="15">
        <f>SUM(L4:L6)</f>
        <v/>
      </c>
      <c r="M7" s="14">
        <f>SUM(M4:M6)</f>
        <v/>
      </c>
      <c r="N7" s="15">
        <f>SUM(N4:N6)</f>
        <v/>
      </c>
      <c r="O7" s="14">
        <f>SUM(O4:O6)</f>
        <v/>
      </c>
      <c r="P7" s="15">
        <f>SUM(P4:P6)</f>
        <v/>
      </c>
      <c r="Q7" s="14">
        <f>SUM(Q4:Q6)</f>
        <v/>
      </c>
      <c r="R7" s="15">
        <f>SUM(R4:R6)</f>
        <v/>
      </c>
      <c r="S7" s="14">
        <f>SUM(S4:S6)</f>
        <v/>
      </c>
      <c r="T7" s="15">
        <f>SUM(T4:T6)</f>
        <v/>
      </c>
      <c r="U7" s="11">
        <f>+B7-E7-G7-Q7-S7-K7-I7-M7-O7</f>
        <v/>
      </c>
    </row>
    <row r="8" ht="15" customFormat="1" customHeight="1" s="2" thickBot="1">
      <c r="A8" s="52" t="inlineStr">
        <is>
          <t>Actual Amount</t>
        </is>
      </c>
      <c r="B8" s="53" t="n"/>
      <c r="C8" s="16" t="n"/>
      <c r="D8" s="17" t="n"/>
      <c r="E8" s="18" t="n"/>
      <c r="F8" s="19" t="n">
        <v>0</v>
      </c>
      <c r="G8" s="18" t="n"/>
      <c r="H8" s="19" t="n">
        <v>78874.96000000001</v>
      </c>
      <c r="I8" s="18" t="n"/>
      <c r="J8" s="19" t="n">
        <v>3849</v>
      </c>
      <c r="K8" s="18" t="n"/>
      <c r="L8" s="19" t="n">
        <v>9564.84</v>
      </c>
      <c r="M8" s="20" t="n"/>
      <c r="N8" s="19" t="n">
        <v>112608</v>
      </c>
      <c r="O8" s="20" t="inlineStr"/>
      <c r="P8" s="19" t="n">
        <v>0</v>
      </c>
      <c r="Q8" s="18" t="n">
        <v>0</v>
      </c>
      <c r="R8" s="19" t="n">
        <v>237966</v>
      </c>
      <c r="S8" s="18" t="n"/>
      <c r="T8" s="19" t="n">
        <v>69853.67</v>
      </c>
      <c r="U8" s="17" t="n"/>
    </row>
    <row r="9" ht="15.6" customHeight="1" s="69" thickBot="1" thickTop="1">
      <c r="A9" s="48" t="inlineStr">
        <is>
          <t>Diffrence should be zero</t>
        </is>
      </c>
      <c r="B9" s="49" t="n"/>
      <c r="C9" s="49" t="n"/>
      <c r="D9" s="21" t="n"/>
      <c r="E9" s="21" t="n"/>
      <c r="F9" s="22">
        <f>+F7-F8</f>
        <v/>
      </c>
      <c r="G9" s="21" t="n"/>
      <c r="H9" s="22">
        <f>+H7-H8</f>
        <v/>
      </c>
      <c r="I9" s="21" t="n"/>
      <c r="J9" s="22">
        <f>+J7-J8</f>
        <v/>
      </c>
      <c r="K9" s="21" t="n"/>
      <c r="L9" s="22">
        <f>+L7-L8</f>
        <v/>
      </c>
      <c r="M9" s="22" t="n"/>
      <c r="N9" s="22">
        <f>+N7-N8</f>
        <v/>
      </c>
      <c r="O9" s="22" t="n"/>
      <c r="P9" s="22">
        <f>+P7-P8</f>
        <v/>
      </c>
      <c r="Q9" s="21" t="n"/>
      <c r="R9" s="22">
        <f>+R7-R8</f>
        <v/>
      </c>
      <c r="S9" s="21" t="n"/>
      <c r="T9" s="22">
        <f>+T7-T8</f>
        <v/>
      </c>
      <c r="U9" s="23" t="n"/>
    </row>
    <row r="10" ht="15" customHeight="1" s="69" thickTop="1">
      <c r="A10" s="24" t="n"/>
      <c r="B10" s="24" t="n">
        <v>0</v>
      </c>
      <c r="C10" s="24" t="n"/>
      <c r="D10" s="2" t="n"/>
      <c r="E10" s="2" t="n"/>
      <c r="F10" s="25" t="n"/>
      <c r="G10" s="2" t="n"/>
      <c r="H10" s="25" t="n"/>
      <c r="I10" s="2" t="n"/>
      <c r="J10" s="25" t="n"/>
      <c r="K10" s="2" t="n"/>
      <c r="L10" s="6" t="n"/>
      <c r="M10" s="2" t="n"/>
      <c r="N10" s="25" t="n"/>
      <c r="O10" s="25" t="n"/>
      <c r="P10" s="25" t="n"/>
      <c r="Q10" s="25" t="n"/>
      <c r="R10" s="25" t="n"/>
      <c r="S10" s="2" t="n"/>
      <c r="T10" s="25" t="n"/>
      <c r="U10" s="2" t="n"/>
    </row>
    <row r="11">
      <c r="A11" s="26" t="inlineStr">
        <is>
          <t>sales value diff</t>
        </is>
      </c>
      <c r="D11" s="27">
        <f>+D7-F8-H8-L8-J8-R8-T8-N8-P8</f>
        <v/>
      </c>
      <c r="F11" s="72" t="n"/>
      <c r="M11" s="72" t="n"/>
    </row>
    <row r="12">
      <c r="F12" s="72" t="n"/>
      <c r="G12" s="72" t="n"/>
      <c r="H12" s="29" t="inlineStr">
        <is>
          <t>Petrol</t>
        </is>
      </c>
      <c r="I12" s="29" t="inlineStr">
        <is>
          <t>Diesal</t>
        </is>
      </c>
      <c r="J12" s="29" t="inlineStr">
        <is>
          <t>Power</t>
        </is>
      </c>
    </row>
    <row r="13">
      <c r="A13" s="58" t="inlineStr">
        <is>
          <t>CREDIT DETAIL</t>
        </is>
      </c>
      <c r="B13" s="59" t="n"/>
      <c r="C13" s="59" t="n"/>
      <c r="D13" s="59" t="n"/>
      <c r="E13" s="59" t="n"/>
      <c r="F13" s="57" t="n"/>
      <c r="H13" s="79" t="n">
        <v>79139</v>
      </c>
      <c r="I13" s="80" t="n">
        <v>72520</v>
      </c>
      <c r="J13" s="79" t="n">
        <v>4303</v>
      </c>
    </row>
    <row r="14">
      <c r="A14" s="29" t="inlineStr">
        <is>
          <t>particular</t>
        </is>
      </c>
      <c r="B14" s="29" t="inlineStr">
        <is>
          <t xml:space="preserve">Type </t>
        </is>
      </c>
      <c r="C14" s="31" t="inlineStr">
        <is>
          <t>QTY</t>
        </is>
      </c>
      <c r="D14" s="31" t="inlineStr">
        <is>
          <t>RATE</t>
        </is>
      </c>
      <c r="E14" s="31" t="inlineStr">
        <is>
          <t>AMOUNT</t>
        </is>
      </c>
      <c r="F14" s="32" t="inlineStr">
        <is>
          <t>inv no</t>
        </is>
      </c>
      <c r="H14" s="79" t="n">
        <v>138849</v>
      </c>
      <c r="I14" s="80" t="n">
        <v>88594</v>
      </c>
      <c r="J14" s="79" t="n"/>
      <c r="K14" s="74" t="n"/>
      <c r="L14" s="74" t="n"/>
      <c r="M14" s="74" t="n"/>
    </row>
    <row r="15">
      <c r="A15" s="33" t="inlineStr">
        <is>
          <t>Balaji Care and Cure</t>
        </is>
      </c>
      <c r="B15" s="34" t="inlineStr">
        <is>
          <t>diesal</t>
        </is>
      </c>
      <c r="C15" s="29">
        <f>+E15/D15</f>
        <v/>
      </c>
      <c r="D15" s="79">
        <f>+VLOOKUP(B15,A$4:C$6,3,0)</f>
        <v/>
      </c>
      <c r="E15" s="81" t="n">
        <v>10618.61</v>
      </c>
      <c r="F15" s="34" t="n">
        <v>21367</v>
      </c>
      <c r="H15" s="80" t="n"/>
      <c r="I15" s="80" t="n">
        <v>129312</v>
      </c>
      <c r="J15" s="80" t="n"/>
      <c r="K15" s="72" t="n"/>
    </row>
    <row r="16">
      <c r="A16" s="33" t="inlineStr">
        <is>
          <t>dinesh</t>
        </is>
      </c>
      <c r="B16" s="34" t="inlineStr">
        <is>
          <t>diesal</t>
        </is>
      </c>
      <c r="C16" s="29">
        <f>+E16/D16</f>
        <v/>
      </c>
      <c r="D16" s="79">
        <f>+VLOOKUP(B16,A$4:C$6,3,0)</f>
        <v/>
      </c>
      <c r="E16" s="81" t="n">
        <v>1000</v>
      </c>
      <c r="F16" s="34" t="n">
        <v>21368</v>
      </c>
      <c r="H16" s="79">
        <f>+H24/C4</f>
        <v/>
      </c>
      <c r="I16" s="43">
        <f>+I24/C5</f>
        <v/>
      </c>
      <c r="J16" s="43">
        <f>+J24/C6</f>
        <v/>
      </c>
      <c r="K16" s="72" t="n"/>
      <c r="M16" s="72" t="n"/>
    </row>
    <row r="17">
      <c r="A17" s="33" t="inlineStr">
        <is>
          <t>Piploda</t>
        </is>
      </c>
      <c r="B17" s="34" t="inlineStr">
        <is>
          <t>diesal</t>
        </is>
      </c>
      <c r="C17" s="29">
        <f>+E17/D17</f>
        <v/>
      </c>
      <c r="D17" s="79">
        <f>+VLOOKUP(B17,A$4:C$6,3,0)</f>
        <v/>
      </c>
      <c r="E17" s="82" t="n">
        <v>19753.28</v>
      </c>
      <c r="F17" s="34" t="n">
        <v>21365</v>
      </c>
      <c r="H17" s="72" t="n"/>
      <c r="K17" s="72" t="n"/>
    </row>
    <row r="18">
      <c r="A18" s="33" t="inlineStr">
        <is>
          <t>mool Chand yadav</t>
        </is>
      </c>
      <c r="B18" s="34" t="inlineStr">
        <is>
          <t>diesal</t>
        </is>
      </c>
      <c r="C18" s="29">
        <f>+E18/D18</f>
        <v/>
      </c>
      <c r="D18" s="79">
        <f>+VLOOKUP(B18,A$4:C$6,3,0)</f>
        <v/>
      </c>
      <c r="E18" s="82" t="n">
        <v>19747.87</v>
      </c>
      <c r="F18" s="34" t="n">
        <v>21366</v>
      </c>
    </row>
    <row r="19">
      <c r="A19" s="33" t="inlineStr">
        <is>
          <t>Shyam Tran.</t>
        </is>
      </c>
      <c r="B19" s="34" t="inlineStr">
        <is>
          <t>diesal</t>
        </is>
      </c>
      <c r="C19" s="29">
        <f>+E19/D19</f>
        <v/>
      </c>
      <c r="D19" s="79">
        <f>+VLOOKUP(B19,A$4:C$6,3,0)</f>
        <v/>
      </c>
      <c r="E19" s="82" t="n">
        <v>2045.06</v>
      </c>
      <c r="F19" s="39" t="n">
        <v>21369</v>
      </c>
      <c r="K19" s="72" t="n"/>
      <c r="M19" s="72" t="n"/>
    </row>
    <row r="20">
      <c r="A20" s="33" t="n"/>
      <c r="B20" s="34" t="inlineStr">
        <is>
          <t>diesal</t>
        </is>
      </c>
      <c r="C20" s="29">
        <f>+E20/D20</f>
        <v/>
      </c>
      <c r="D20" s="79">
        <f>+VLOOKUP(B20,A$4:C$6,3,0)</f>
        <v/>
      </c>
      <c r="E20" s="82" t="n"/>
      <c r="F20" s="79" t="n"/>
      <c r="K20" s="72" t="n"/>
    </row>
    <row r="21">
      <c r="A21" s="33" t="n"/>
      <c r="B21" s="34" t="inlineStr">
        <is>
          <t>diesal</t>
        </is>
      </c>
      <c r="C21" s="29">
        <f>+E21/D21</f>
        <v/>
      </c>
      <c r="D21" s="79">
        <f>+VLOOKUP(B21,A$4:C$6,3,0)</f>
        <v/>
      </c>
      <c r="E21" s="82" t="n"/>
      <c r="F21" s="35" t="n"/>
      <c r="H21" s="71" t="n"/>
      <c r="K21" s="72" t="n"/>
      <c r="M21" s="72" t="n"/>
    </row>
    <row r="22">
      <c r="A22" s="33" t="n"/>
      <c r="B22" s="34" t="inlineStr">
        <is>
          <t>diesal</t>
        </is>
      </c>
      <c r="C22" s="29">
        <f>+E22/D22</f>
        <v/>
      </c>
      <c r="D22" s="79">
        <f>+VLOOKUP(B22,A$4:C$6,3,0)</f>
        <v/>
      </c>
      <c r="E22" s="82" t="n"/>
      <c r="F22" s="79" t="n"/>
    </row>
    <row r="23">
      <c r="A23" s="34" t="n"/>
      <c r="B23" s="34" t="inlineStr">
        <is>
          <t>diesal</t>
        </is>
      </c>
      <c r="C23" s="29">
        <f>+E23/D23</f>
        <v/>
      </c>
      <c r="D23" s="79">
        <f>+VLOOKUP(B23,A$4:C$6,3,0)</f>
        <v/>
      </c>
      <c r="E23" s="82" t="n"/>
      <c r="F23" s="79" t="n"/>
    </row>
    <row r="24">
      <c r="A24" s="34" t="n"/>
      <c r="B24" s="34" t="inlineStr">
        <is>
          <t>diesal</t>
        </is>
      </c>
      <c r="C24" s="29">
        <f>+E24/D24</f>
        <v/>
      </c>
      <c r="D24" s="79">
        <f>+VLOOKUP(B24,A$4:C$6,3,0)</f>
        <v/>
      </c>
      <c r="E24" s="29" t="n"/>
      <c r="F24" s="79" t="n"/>
      <c r="H24" s="72" t="n"/>
      <c r="I24" s="72" t="n"/>
      <c r="J24" s="72" t="n"/>
    </row>
    <row r="25">
      <c r="A25" s="34" t="n"/>
      <c r="B25" s="34" t="inlineStr">
        <is>
          <t>diesal</t>
        </is>
      </c>
      <c r="C25" s="29">
        <f>+E25/D25</f>
        <v/>
      </c>
      <c r="D25" s="79">
        <f>+VLOOKUP(B25,A$4:C$6,3,0)</f>
        <v/>
      </c>
      <c r="E25" s="29" t="n"/>
      <c r="F25" s="79" t="n"/>
      <c r="H25" s="72" t="n"/>
    </row>
    <row r="26">
      <c r="A26" s="79" t="n"/>
      <c r="B26" s="79" t="n"/>
      <c r="C26" s="29">
        <f>SUM(C15:C25)</f>
        <v/>
      </c>
      <c r="D26" s="29" t="n"/>
      <c r="E26" s="29">
        <f>SUM(E15:E25)</f>
        <v/>
      </c>
      <c r="F26" s="79" t="n"/>
    </row>
    <row r="50">
      <c r="E50" t="n">
        <v>9</v>
      </c>
    </row>
  </sheetData>
  <mergeCells count="16">
    <mergeCell ref="O2:P2"/>
    <mergeCell ref="M2:N2"/>
    <mergeCell ref="S2:T2"/>
    <mergeCell ref="Q2:R2"/>
    <mergeCell ref="A13:F13"/>
    <mergeCell ref="G2:H2"/>
    <mergeCell ref="E2:F2"/>
    <mergeCell ref="K2:L2"/>
    <mergeCell ref="I2:J2"/>
    <mergeCell ref="U2:U3"/>
    <mergeCell ref="C2:C3"/>
    <mergeCell ref="A9:C9"/>
    <mergeCell ref="B2:B3"/>
    <mergeCell ref="A2:A3"/>
    <mergeCell ref="D2:D3"/>
    <mergeCell ref="A8:B8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X50"/>
  <sheetViews>
    <sheetView workbookViewId="0">
      <selection activeCell="A1" sqref="A1"/>
    </sheetView>
  </sheetViews>
  <sheetFormatPr baseColWidth="8" defaultColWidth="9.109375" defaultRowHeight="14.4"/>
  <cols>
    <col width="13.109375" customWidth="1" style="69" min="1" max="1"/>
    <col width="12" customWidth="1" style="69" min="2" max="2"/>
    <col width="12" customWidth="1" style="69" min="4" max="4"/>
    <col width="13.109375" customWidth="1" style="69" min="5" max="5"/>
    <col width="14" customWidth="1" style="69" min="6" max="6"/>
    <col width="10.109375" customWidth="1" style="69" min="7" max="7"/>
    <col width="10.6640625" customWidth="1" style="69" min="8" max="8"/>
    <col width="9.5546875" customWidth="1" style="69" min="9" max="9"/>
    <col width="10.6640625" customWidth="1" style="69" min="10" max="14"/>
    <col width="13.44140625" customWidth="1" style="69" min="15" max="15"/>
    <col width="11.88671875" customWidth="1" style="69" min="16" max="16"/>
    <col width="10.6640625" customWidth="1" style="69" min="18" max="18"/>
    <col width="9.5546875" customWidth="1" style="69" min="19" max="19"/>
    <col width="10.6640625" customWidth="1" style="69" min="20" max="20"/>
    <col width="9.6640625" customWidth="1" style="69" min="21" max="21"/>
    <col width="12.5546875" customWidth="1" style="69" min="23" max="23"/>
    <col width="12" customWidth="1" style="69" min="24" max="24"/>
  </cols>
  <sheetData>
    <row r="1" ht="18.6" customHeight="1" s="69"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</row>
    <row r="2" ht="18.6" customHeight="1" s="69">
      <c r="A2" s="47" t="inlineStr">
        <is>
          <t>Particular</t>
        </is>
      </c>
      <c r="B2" s="47" t="inlineStr">
        <is>
          <t>Qty</t>
        </is>
      </c>
      <c r="C2" s="47" t="inlineStr">
        <is>
          <t>Rate</t>
        </is>
      </c>
      <c r="D2" s="50" t="inlineStr">
        <is>
          <t>Amount</t>
        </is>
      </c>
      <c r="E2" s="56" t="inlineStr">
        <is>
          <t>Pos SBI</t>
        </is>
      </c>
      <c r="F2" s="57" t="n"/>
      <c r="G2" s="56" t="inlineStr">
        <is>
          <t>Paytm</t>
        </is>
      </c>
      <c r="H2" s="57" t="n"/>
      <c r="I2" s="56" t="inlineStr">
        <is>
          <t>HP Card</t>
        </is>
      </c>
      <c r="J2" s="57" t="n"/>
      <c r="K2" s="56" t="inlineStr">
        <is>
          <t>ICICI</t>
        </is>
      </c>
      <c r="L2" s="57" t="n"/>
      <c r="M2" s="56" t="inlineStr">
        <is>
          <t>phone pe</t>
        </is>
      </c>
      <c r="N2" s="57" t="n"/>
      <c r="O2" s="54" t="inlineStr">
        <is>
          <t>mobiquick</t>
        </is>
      </c>
      <c r="P2" s="55" t="n"/>
      <c r="Q2" s="56" t="inlineStr">
        <is>
          <t xml:space="preserve">CASH </t>
        </is>
      </c>
      <c r="R2" s="57" t="n"/>
      <c r="S2" s="56" t="inlineStr">
        <is>
          <t>Credit</t>
        </is>
      </c>
      <c r="T2" s="57" t="n"/>
      <c r="U2" s="45" t="inlineStr">
        <is>
          <t>Qty Diffrence</t>
        </is>
      </c>
      <c r="W2" s="2" t="n"/>
      <c r="X2" s="2" t="n"/>
    </row>
    <row r="3" ht="18.6" customHeight="1" s="69">
      <c r="A3" s="46" t="n"/>
      <c r="B3" s="46" t="n"/>
      <c r="C3" s="46" t="n"/>
      <c r="D3" s="51" t="n"/>
      <c r="E3" s="56" t="inlineStr">
        <is>
          <t>Qty</t>
        </is>
      </c>
      <c r="F3" s="41" t="inlineStr">
        <is>
          <t>Amount</t>
        </is>
      </c>
      <c r="G3" s="56" t="inlineStr">
        <is>
          <t>Qty</t>
        </is>
      </c>
      <c r="H3" s="41" t="inlineStr">
        <is>
          <t>Amount</t>
        </is>
      </c>
      <c r="I3" s="56" t="inlineStr">
        <is>
          <t>Qty</t>
        </is>
      </c>
      <c r="J3" s="41" t="inlineStr">
        <is>
          <t>Amount</t>
        </is>
      </c>
      <c r="K3" s="56" t="inlineStr">
        <is>
          <t>Qty</t>
        </is>
      </c>
      <c r="L3" s="41" t="inlineStr">
        <is>
          <t>Amount</t>
        </is>
      </c>
      <c r="M3" s="56" t="inlineStr">
        <is>
          <t>Qty</t>
        </is>
      </c>
      <c r="N3" s="41" t="inlineStr">
        <is>
          <t>Amount</t>
        </is>
      </c>
      <c r="O3" s="56" t="inlineStr">
        <is>
          <t>Qty</t>
        </is>
      </c>
      <c r="P3" s="41" t="inlineStr">
        <is>
          <t>Amount</t>
        </is>
      </c>
      <c r="Q3" s="56" t="inlineStr">
        <is>
          <t>Qty</t>
        </is>
      </c>
      <c r="R3" s="41" t="inlineStr">
        <is>
          <t>Amount</t>
        </is>
      </c>
      <c r="S3" s="56" t="inlineStr">
        <is>
          <t>Qty</t>
        </is>
      </c>
      <c r="T3" s="41" t="inlineStr">
        <is>
          <t>Amount</t>
        </is>
      </c>
      <c r="U3" s="46" t="n"/>
      <c r="W3" s="2" t="inlineStr">
        <is>
          <t>diesal</t>
        </is>
      </c>
      <c r="X3" s="2">
        <f>+SUMIFS(C15:C25,B15:B25,W3)</f>
        <v/>
      </c>
    </row>
    <row r="4" customFormat="1" s="2">
      <c r="A4" s="3" t="inlineStr">
        <is>
          <t>Petrol</t>
        </is>
      </c>
      <c r="B4" s="12">
        <f>+(H13+H14+H15)/$C$4</f>
        <v/>
      </c>
      <c r="C4" s="4" t="n">
        <v>104.71</v>
      </c>
      <c r="D4" s="5">
        <f>B4*C4</f>
        <v/>
      </c>
      <c r="E4" s="6" t="n">
        <v>0</v>
      </c>
      <c r="F4" s="7">
        <f>+E4*C4</f>
        <v/>
      </c>
      <c r="G4" s="9">
        <f>+(H8*60%)/$C$4</f>
        <v/>
      </c>
      <c r="H4" s="7">
        <f>+G4*C4</f>
        <v/>
      </c>
      <c r="I4" s="6">
        <f>J4/C4</f>
        <v/>
      </c>
      <c r="J4" s="7" t="n">
        <v>0</v>
      </c>
      <c r="K4" s="8">
        <f>+L8/$C$4</f>
        <v/>
      </c>
      <c r="L4" s="7">
        <f>+K4*C4</f>
        <v/>
      </c>
      <c r="M4" s="9">
        <f>+(N8*60%)/$C$4</f>
        <v/>
      </c>
      <c r="N4" s="7">
        <f>+M4*C4</f>
        <v/>
      </c>
      <c r="O4" s="9" t="n"/>
      <c r="P4" s="7">
        <f>+O4*C4</f>
        <v/>
      </c>
      <c r="Q4" s="6" t="n">
        <v>834.1211918632414</v>
      </c>
      <c r="R4" s="7">
        <f>+Q4*C4</f>
        <v/>
      </c>
      <c r="S4" s="10">
        <f>+X4</f>
        <v/>
      </c>
      <c r="T4" s="7">
        <f>+S4*C4</f>
        <v/>
      </c>
      <c r="U4" s="11">
        <f>+B4-E4-G4-Q4-S4-K4-I4-M4-O4</f>
        <v/>
      </c>
      <c r="W4" t="inlineStr">
        <is>
          <t>petrol</t>
        </is>
      </c>
      <c r="X4" s="2">
        <f>+SUMIFS(C15:C26,B15:B26,W4)</f>
        <v/>
      </c>
    </row>
    <row r="5" customFormat="1" s="2">
      <c r="A5" s="3" t="inlineStr">
        <is>
          <t>Diesal</t>
        </is>
      </c>
      <c r="B5" s="12">
        <f>+(I13+I14+I15)/$C$5</f>
        <v/>
      </c>
      <c r="C5" s="4" t="n">
        <v>90.20999999999999</v>
      </c>
      <c r="D5" s="5">
        <f>B5*C5</f>
        <v/>
      </c>
      <c r="E5" s="6" t="n">
        <v>0</v>
      </c>
      <c r="F5" s="7">
        <f>+E5*C5</f>
        <v/>
      </c>
      <c r="G5" s="6">
        <f>+(H8*40%)/$C$5</f>
        <v/>
      </c>
      <c r="H5" s="7">
        <f>+G5*C5</f>
        <v/>
      </c>
      <c r="I5" s="6">
        <f>+J8/C5</f>
        <v/>
      </c>
      <c r="J5" s="7">
        <f>+I5*C5</f>
        <v/>
      </c>
      <c r="K5" s="6" t="n">
        <v>0</v>
      </c>
      <c r="L5" s="7">
        <f>+K5*C5</f>
        <v/>
      </c>
      <c r="M5" s="6">
        <f>+(N8*40%)/$C$5</f>
        <v/>
      </c>
      <c r="N5" s="7">
        <f>+M5*C5</f>
        <v/>
      </c>
      <c r="O5" s="9">
        <f>+P8/C5</f>
        <v/>
      </c>
      <c r="P5" s="7">
        <f>+O5*C5</f>
        <v/>
      </c>
      <c r="Q5" s="6" t="n">
        <v>824.0787052433212</v>
      </c>
      <c r="R5" s="7">
        <f>+Q5*C5</f>
        <v/>
      </c>
      <c r="S5" s="10">
        <f>+X3</f>
        <v/>
      </c>
      <c r="T5" s="7">
        <f>+S5*C5</f>
        <v/>
      </c>
      <c r="U5" s="11">
        <f>+B5-E5-G5-Q5-S5-K5-I5-M5-O5</f>
        <v/>
      </c>
      <c r="W5" t="inlineStr">
        <is>
          <t>Petrol Power</t>
        </is>
      </c>
      <c r="X5" s="2">
        <f>+SUMIFS(C17:C27,B17:B27,W5)</f>
        <v/>
      </c>
    </row>
    <row r="6" customFormat="1" s="2">
      <c r="A6" s="3" t="inlineStr">
        <is>
          <t>Petrol Power</t>
        </is>
      </c>
      <c r="B6" s="12">
        <f>+(J13+J14+J15)/$C$6</f>
        <v/>
      </c>
      <c r="C6" s="4" t="n">
        <v>112.8</v>
      </c>
      <c r="D6" s="5">
        <f>B6*C6</f>
        <v/>
      </c>
      <c r="E6" s="6" t="n">
        <v>0</v>
      </c>
      <c r="F6" s="7">
        <f>+E6*C6</f>
        <v/>
      </c>
      <c r="G6" s="6" t="n"/>
      <c r="H6" s="7">
        <f>+G6*C6</f>
        <v/>
      </c>
      <c r="I6" s="6" t="n">
        <v>0</v>
      </c>
      <c r="J6" s="7">
        <f>+I6*C6</f>
        <v/>
      </c>
      <c r="K6" s="6" t="n">
        <v>0</v>
      </c>
      <c r="L6" s="7">
        <f>+K6*C6</f>
        <v/>
      </c>
      <c r="M6" s="9" t="n">
        <v>0</v>
      </c>
      <c r="N6" s="7">
        <f>+M6*C6</f>
        <v/>
      </c>
      <c r="O6" s="9" t="n"/>
      <c r="P6" s="7">
        <f>+O6*C6</f>
        <v/>
      </c>
      <c r="Q6" s="6" t="n">
        <v>5.23936170212766</v>
      </c>
      <c r="R6" s="7">
        <f>+Q6*C6</f>
        <v/>
      </c>
      <c r="S6" s="10">
        <f>+X5</f>
        <v/>
      </c>
      <c r="T6" s="7">
        <f>+S6*C6</f>
        <v/>
      </c>
      <c r="U6" s="11">
        <f>+B6-E6-G6-Q6-S6-K6-I6-M6-O6</f>
        <v/>
      </c>
    </row>
    <row r="7" customFormat="1" s="2">
      <c r="A7" s="3" t="n"/>
      <c r="B7" s="38">
        <f>SUM(B4:B6)</f>
        <v/>
      </c>
      <c r="C7" s="3" t="n"/>
      <c r="D7" s="13">
        <f>SUM(D4:D6)</f>
        <v/>
      </c>
      <c r="E7" s="14">
        <f>SUM(E4:E6)</f>
        <v/>
      </c>
      <c r="F7" s="15">
        <f>SUM(F4:F6)</f>
        <v/>
      </c>
      <c r="G7" s="14">
        <f>SUM(G4:G6)</f>
        <v/>
      </c>
      <c r="H7" s="15">
        <f>SUM(H4:H6)</f>
        <v/>
      </c>
      <c r="I7" s="14">
        <f>SUM(I4:I6)</f>
        <v/>
      </c>
      <c r="J7" s="15">
        <f>SUM(J4:J6)</f>
        <v/>
      </c>
      <c r="K7" s="14">
        <f>SUM(K4:K6)</f>
        <v/>
      </c>
      <c r="L7" s="15">
        <f>SUM(L4:L6)</f>
        <v/>
      </c>
      <c r="M7" s="14">
        <f>SUM(M4:M6)</f>
        <v/>
      </c>
      <c r="N7" s="15">
        <f>SUM(N4:N6)</f>
        <v/>
      </c>
      <c r="O7" s="14">
        <f>SUM(O4:O6)</f>
        <v/>
      </c>
      <c r="P7" s="15">
        <f>SUM(P4:P6)</f>
        <v/>
      </c>
      <c r="Q7" s="14">
        <f>SUM(Q4:Q6)</f>
        <v/>
      </c>
      <c r="R7" s="15">
        <f>SUM(R4:R6)</f>
        <v/>
      </c>
      <c r="S7" s="14">
        <f>SUM(S4:S6)</f>
        <v/>
      </c>
      <c r="T7" s="15">
        <f>SUM(T4:T6)</f>
        <v/>
      </c>
      <c r="U7" s="11">
        <f>+B7-E7-G7-Q7-S7-K7-I7-M7-O7</f>
        <v/>
      </c>
    </row>
    <row r="8" ht="15" customFormat="1" customHeight="1" s="2" thickBot="1">
      <c r="A8" s="52" t="inlineStr">
        <is>
          <t>Actual Amount</t>
        </is>
      </c>
      <c r="B8" s="53" t="n"/>
      <c r="C8" s="16" t="n"/>
      <c r="D8" s="17" t="n"/>
      <c r="E8" s="18" t="n"/>
      <c r="F8" s="19" t="n">
        <v>0</v>
      </c>
      <c r="G8" s="18" t="n"/>
      <c r="H8" s="19" t="n">
        <v>87707.85000000001</v>
      </c>
      <c r="I8" s="18" t="n"/>
      <c r="J8" s="19" t="n">
        <v>0</v>
      </c>
      <c r="K8" s="18" t="n"/>
      <c r="L8" s="19" t="n">
        <v>12140.76</v>
      </c>
      <c r="M8" s="20" t="n"/>
      <c r="N8" s="19" t="n">
        <v>78219.5</v>
      </c>
      <c r="O8" s="20" t="inlineStr"/>
      <c r="P8" s="19" t="n">
        <v>0</v>
      </c>
      <c r="Q8" s="18" t="n">
        <v>0</v>
      </c>
      <c r="R8" s="19" t="n">
        <v>160572</v>
      </c>
      <c r="S8" s="18" t="n"/>
      <c r="T8" s="19" t="n">
        <v>41580.92</v>
      </c>
      <c r="U8" s="17" t="n"/>
    </row>
    <row r="9" ht="15.6" customHeight="1" s="69" thickBot="1" thickTop="1">
      <c r="A9" s="48" t="inlineStr">
        <is>
          <t>Diffrence should be zero</t>
        </is>
      </c>
      <c r="B9" s="49" t="n"/>
      <c r="C9" s="49" t="n"/>
      <c r="D9" s="21" t="n"/>
      <c r="E9" s="21" t="n"/>
      <c r="F9" s="22">
        <f>+F7-F8</f>
        <v/>
      </c>
      <c r="G9" s="21" t="n"/>
      <c r="H9" s="22">
        <f>+H7-H8</f>
        <v/>
      </c>
      <c r="I9" s="21" t="n"/>
      <c r="J9" s="22">
        <f>+J7-J8</f>
        <v/>
      </c>
      <c r="K9" s="21" t="n"/>
      <c r="L9" s="22">
        <f>+L7-L8</f>
        <v/>
      </c>
      <c r="M9" s="22" t="n"/>
      <c r="N9" s="22">
        <f>+N7-N8</f>
        <v/>
      </c>
      <c r="O9" s="22" t="n"/>
      <c r="P9" s="22">
        <f>+P7-P8</f>
        <v/>
      </c>
      <c r="Q9" s="21" t="n"/>
      <c r="R9" s="22">
        <f>+R7-R8</f>
        <v/>
      </c>
      <c r="S9" s="21" t="n"/>
      <c r="T9" s="22">
        <f>+T7-T8</f>
        <v/>
      </c>
      <c r="U9" s="23" t="n"/>
    </row>
    <row r="10" ht="15" customHeight="1" s="69" thickTop="1">
      <c r="A10" s="24" t="n"/>
      <c r="B10" s="24" t="n">
        <v>0</v>
      </c>
      <c r="C10" s="24" t="n"/>
      <c r="D10" s="2" t="n"/>
      <c r="E10" s="2" t="n"/>
      <c r="F10" s="25" t="n"/>
      <c r="G10" s="2" t="n"/>
      <c r="H10" s="25" t="n"/>
      <c r="I10" s="2" t="n"/>
      <c r="J10" s="25" t="n"/>
      <c r="K10" s="2" t="n"/>
      <c r="L10" s="6" t="n"/>
      <c r="M10" s="2" t="n"/>
      <c r="N10" s="25" t="n"/>
      <c r="O10" s="25" t="n"/>
      <c r="P10" s="25" t="n"/>
      <c r="Q10" s="25" t="n"/>
      <c r="R10" s="25" t="n"/>
      <c r="S10" s="2" t="n"/>
      <c r="T10" s="25" t="n"/>
      <c r="U10" s="2" t="n"/>
    </row>
    <row r="11">
      <c r="A11" s="26" t="inlineStr">
        <is>
          <t>sales value diff</t>
        </is>
      </c>
      <c r="D11" s="27">
        <f>+D7-F8-H8-L8-J8-R8-T8-N8-P8</f>
        <v/>
      </c>
      <c r="F11" s="72" t="n"/>
      <c r="M11" s="72" t="n"/>
    </row>
    <row r="12">
      <c r="F12" s="72" t="n"/>
      <c r="G12" s="72" t="n"/>
      <c r="H12" s="29" t="inlineStr">
        <is>
          <t>Petrol</t>
        </is>
      </c>
      <c r="I12" s="29" t="inlineStr">
        <is>
          <t>Diesal</t>
        </is>
      </c>
      <c r="J12" s="29" t="inlineStr">
        <is>
          <t>Power</t>
        </is>
      </c>
    </row>
    <row r="13">
      <c r="A13" s="58" t="inlineStr">
        <is>
          <t>CREDIT DETAIL</t>
        </is>
      </c>
      <c r="B13" s="59" t="n"/>
      <c r="C13" s="59" t="n"/>
      <c r="D13" s="59" t="n"/>
      <c r="E13" s="59" t="n"/>
      <c r="F13" s="57" t="n"/>
      <c r="H13" s="79" t="n">
        <v>94833</v>
      </c>
      <c r="I13" s="80" t="n">
        <v>64476</v>
      </c>
      <c r="J13" s="79" t="n">
        <v>591</v>
      </c>
    </row>
    <row r="14">
      <c r="A14" s="29" t="inlineStr">
        <is>
          <t>particular</t>
        </is>
      </c>
      <c r="B14" s="29" t="inlineStr">
        <is>
          <t xml:space="preserve">Type </t>
        </is>
      </c>
      <c r="C14" s="31" t="inlineStr">
        <is>
          <t>QTY</t>
        </is>
      </c>
      <c r="D14" s="31" t="inlineStr">
        <is>
          <t>RATE</t>
        </is>
      </c>
      <c r="E14" s="31" t="inlineStr">
        <is>
          <t>AMOUNT</t>
        </is>
      </c>
      <c r="F14" s="32" t="inlineStr">
        <is>
          <t>inv no</t>
        </is>
      </c>
      <c r="H14" s="79" t="n">
        <v>104205</v>
      </c>
      <c r="I14" s="80" t="n">
        <v>72174</v>
      </c>
      <c r="J14" s="79" t="n"/>
      <c r="K14" s="74" t="n"/>
      <c r="L14" s="74" t="n"/>
      <c r="M14" s="74" t="n"/>
    </row>
    <row r="15">
      <c r="A15" s="33" t="inlineStr">
        <is>
          <t>Sitaram Yadav</t>
        </is>
      </c>
      <c r="B15" s="34" t="inlineStr">
        <is>
          <t>diesal</t>
        </is>
      </c>
      <c r="C15" s="29">
        <f>+E15/D15</f>
        <v/>
      </c>
      <c r="D15" s="79">
        <f>+VLOOKUP(B15,A$4:C$6,3,0)</f>
        <v/>
      </c>
      <c r="E15" s="81" t="n">
        <v>4650.32</v>
      </c>
      <c r="F15" s="34" t="n">
        <v>21373</v>
      </c>
      <c r="H15" s="80" t="n"/>
      <c r="I15" s="80" t="n">
        <v>43942</v>
      </c>
      <c r="J15" s="80" t="n"/>
      <c r="K15" s="72" t="n"/>
    </row>
    <row r="16">
      <c r="A16" s="33" t="inlineStr">
        <is>
          <t>Sitaram Yadav</t>
        </is>
      </c>
      <c r="B16" s="34" t="inlineStr">
        <is>
          <t>diesal</t>
        </is>
      </c>
      <c r="C16" s="29">
        <f>+E16/D16</f>
        <v/>
      </c>
      <c r="D16" s="79">
        <f>+VLOOKUP(B16,A$4:C$6,3,0)</f>
        <v/>
      </c>
      <c r="E16" s="81" t="n">
        <v>27150.5</v>
      </c>
      <c r="F16" s="34" t="n">
        <v>21374</v>
      </c>
      <c r="H16" s="79">
        <f>+H24/C4</f>
        <v/>
      </c>
      <c r="I16" s="43">
        <f>+I24/C5</f>
        <v/>
      </c>
      <c r="J16" s="43">
        <f>+J24/C6</f>
        <v/>
      </c>
      <c r="K16" s="72" t="n"/>
      <c r="M16" s="72" t="n"/>
    </row>
    <row r="17">
      <c r="A17" s="33" t="inlineStr">
        <is>
          <t>Shankar ji Lodha</t>
        </is>
      </c>
      <c r="B17" s="34" t="inlineStr">
        <is>
          <t>diesal</t>
        </is>
      </c>
      <c r="C17" s="29">
        <f>+E17/D17</f>
        <v/>
      </c>
      <c r="D17" s="79">
        <f>+VLOOKUP(B17,A$4:C$6,3,0)</f>
        <v/>
      </c>
      <c r="E17" s="82" t="n">
        <v>3000.38</v>
      </c>
      <c r="F17" s="34" t="n">
        <v>21375</v>
      </c>
      <c r="H17" s="72" t="n"/>
      <c r="K17" s="72" t="n"/>
    </row>
    <row r="18">
      <c r="A18" s="33" t="inlineStr">
        <is>
          <t>Balaji Care and Cure</t>
        </is>
      </c>
      <c r="B18" s="34" t="inlineStr">
        <is>
          <t>diesal</t>
        </is>
      </c>
      <c r="C18" s="29">
        <f>+E18/D18</f>
        <v/>
      </c>
      <c r="D18" s="79">
        <f>+VLOOKUP(B18,A$4:C$6,3,0)</f>
        <v/>
      </c>
      <c r="E18" s="82" t="n">
        <v>5079.72</v>
      </c>
      <c r="F18" s="34" t="n">
        <v>21376</v>
      </c>
    </row>
    <row r="19">
      <c r="A19" s="33" t="n"/>
      <c r="B19" s="34" t="inlineStr">
        <is>
          <t>diesal</t>
        </is>
      </c>
      <c r="C19" s="29">
        <f>+E19/D19</f>
        <v/>
      </c>
      <c r="D19" s="79">
        <f>+VLOOKUP(B19,A$4:C$6,3,0)</f>
        <v/>
      </c>
      <c r="E19" s="82" t="n"/>
      <c r="F19" s="39" t="n"/>
      <c r="K19" s="72" t="n"/>
      <c r="M19" s="72" t="n"/>
    </row>
    <row r="20">
      <c r="A20" s="33" t="n"/>
      <c r="B20" s="34" t="inlineStr">
        <is>
          <t>diesal</t>
        </is>
      </c>
      <c r="C20" s="29">
        <f>+E20/D20</f>
        <v/>
      </c>
      <c r="D20" s="79">
        <f>+VLOOKUP(B20,A$4:C$6,3,0)</f>
        <v/>
      </c>
      <c r="E20" s="82" t="n"/>
      <c r="F20" s="79" t="n"/>
      <c r="K20" s="72" t="n"/>
    </row>
    <row r="21">
      <c r="A21" s="33" t="n"/>
      <c r="B21" s="34" t="inlineStr">
        <is>
          <t>diesal</t>
        </is>
      </c>
      <c r="C21" s="29">
        <f>+E21/D21</f>
        <v/>
      </c>
      <c r="D21" s="79">
        <f>+VLOOKUP(B21,A$4:C$6,3,0)</f>
        <v/>
      </c>
      <c r="E21" s="82" t="n"/>
      <c r="F21" s="35" t="n"/>
      <c r="H21" s="71" t="n"/>
      <c r="K21" s="72" t="n"/>
      <c r="M21" s="72" t="n"/>
    </row>
    <row r="22">
      <c r="A22" s="33" t="n"/>
      <c r="B22" s="34" t="inlineStr">
        <is>
          <t>diesal</t>
        </is>
      </c>
      <c r="C22" s="29">
        <f>+E22/D22</f>
        <v/>
      </c>
      <c r="D22" s="79">
        <f>+VLOOKUP(B22,A$4:C$6,3,0)</f>
        <v/>
      </c>
      <c r="E22" s="82" t="n"/>
      <c r="F22" s="79" t="n"/>
    </row>
    <row r="23">
      <c r="A23" s="34" t="n"/>
      <c r="B23" s="34" t="inlineStr">
        <is>
          <t>diesal</t>
        </is>
      </c>
      <c r="C23" s="29">
        <f>+E23/D23</f>
        <v/>
      </c>
      <c r="D23" s="79">
        <f>+VLOOKUP(B23,A$4:C$6,3,0)</f>
        <v/>
      </c>
      <c r="E23" s="82" t="n"/>
      <c r="F23" s="79" t="n"/>
    </row>
    <row r="24">
      <c r="A24" s="34" t="n"/>
      <c r="B24" s="34" t="inlineStr">
        <is>
          <t>diesal</t>
        </is>
      </c>
      <c r="C24" s="29">
        <f>+E24/D24</f>
        <v/>
      </c>
      <c r="D24" s="79">
        <f>+VLOOKUP(B24,A$4:C$6,3,0)</f>
        <v/>
      </c>
      <c r="E24" s="29" t="n"/>
      <c r="F24" s="79" t="n"/>
      <c r="H24" s="72" t="n"/>
      <c r="I24" s="72" t="n"/>
      <c r="J24" s="72" t="n"/>
    </row>
    <row r="25">
      <c r="A25" s="34" t="n"/>
      <c r="B25" s="34" t="inlineStr">
        <is>
          <t>diesal</t>
        </is>
      </c>
      <c r="C25" s="29">
        <f>+E25/D25</f>
        <v/>
      </c>
      <c r="D25" s="79">
        <f>+VLOOKUP(B25,A$4:C$6,3,0)</f>
        <v/>
      </c>
      <c r="E25" s="29" t="n"/>
      <c r="F25" s="79" t="n"/>
      <c r="H25" s="72" t="n"/>
    </row>
    <row r="26">
      <c r="A26" s="79" t="n"/>
      <c r="B26" s="79" t="n"/>
      <c r="C26" s="29">
        <f>SUM(C15:C25)</f>
        <v/>
      </c>
      <c r="D26" s="29" t="n"/>
      <c r="E26" s="29">
        <f>SUM(E15:E25)</f>
        <v/>
      </c>
      <c r="F26" s="79" t="n"/>
    </row>
    <row r="50">
      <c r="E50" t="n">
        <v>9</v>
      </c>
    </row>
  </sheetData>
  <mergeCells count="16">
    <mergeCell ref="O2:P2"/>
    <mergeCell ref="M2:N2"/>
    <mergeCell ref="S2:T2"/>
    <mergeCell ref="Q2:R2"/>
    <mergeCell ref="A13:F13"/>
    <mergeCell ref="G2:H2"/>
    <mergeCell ref="E2:F2"/>
    <mergeCell ref="K2:L2"/>
    <mergeCell ref="I2:J2"/>
    <mergeCell ref="U2:U3"/>
    <mergeCell ref="C2:C3"/>
    <mergeCell ref="A9:C9"/>
    <mergeCell ref="B2:B3"/>
    <mergeCell ref="A2:A3"/>
    <mergeCell ref="D2:D3"/>
    <mergeCell ref="A8:B8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X50"/>
  <sheetViews>
    <sheetView workbookViewId="0">
      <selection activeCell="A1" sqref="A1"/>
    </sheetView>
  </sheetViews>
  <sheetFormatPr baseColWidth="8" defaultColWidth="9.109375" defaultRowHeight="14.4"/>
  <cols>
    <col width="13.109375" customWidth="1" style="69" min="1" max="1"/>
    <col width="12" customWidth="1" style="69" min="2" max="2"/>
    <col width="12" customWidth="1" style="69" min="4" max="4"/>
    <col width="13.109375" customWidth="1" style="69" min="5" max="5"/>
    <col width="14" customWidth="1" style="69" min="6" max="6"/>
    <col width="10.109375" customWidth="1" style="69" min="7" max="7"/>
    <col width="10.6640625" customWidth="1" style="69" min="8" max="8"/>
    <col width="9.5546875" customWidth="1" style="69" min="9" max="9"/>
    <col width="10.6640625" customWidth="1" style="69" min="10" max="14"/>
    <col width="13.44140625" customWidth="1" style="69" min="15" max="15"/>
    <col width="11.88671875" customWidth="1" style="69" min="16" max="16"/>
    <col width="10.6640625" customWidth="1" style="69" min="18" max="18"/>
    <col width="9.5546875" customWidth="1" style="69" min="19" max="19"/>
    <col width="10.6640625" customWidth="1" style="69" min="20" max="20"/>
    <col width="9.6640625" customWidth="1" style="69" min="21" max="21"/>
    <col width="12.5546875" customWidth="1" style="69" min="23" max="23"/>
    <col width="12" customWidth="1" style="69" min="24" max="24"/>
  </cols>
  <sheetData>
    <row r="1" ht="18.6" customHeight="1" s="69"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</row>
    <row r="2" ht="18.6" customHeight="1" s="69">
      <c r="A2" s="47" t="inlineStr">
        <is>
          <t>Particular</t>
        </is>
      </c>
      <c r="B2" s="47" t="inlineStr">
        <is>
          <t>Qty</t>
        </is>
      </c>
      <c r="C2" s="47" t="inlineStr">
        <is>
          <t>Rate</t>
        </is>
      </c>
      <c r="D2" s="50" t="inlineStr">
        <is>
          <t>Amount</t>
        </is>
      </c>
      <c r="E2" s="56" t="inlineStr">
        <is>
          <t>Pos SBI</t>
        </is>
      </c>
      <c r="F2" s="57" t="n"/>
      <c r="G2" s="56" t="inlineStr">
        <is>
          <t>Paytm</t>
        </is>
      </c>
      <c r="H2" s="57" t="n"/>
      <c r="I2" s="56" t="inlineStr">
        <is>
          <t>HP Card</t>
        </is>
      </c>
      <c r="J2" s="57" t="n"/>
      <c r="K2" s="56" t="inlineStr">
        <is>
          <t>ICICI</t>
        </is>
      </c>
      <c r="L2" s="57" t="n"/>
      <c r="M2" s="56" t="inlineStr">
        <is>
          <t>phone pe</t>
        </is>
      </c>
      <c r="N2" s="57" t="n"/>
      <c r="O2" s="54" t="inlineStr">
        <is>
          <t>mobiquick</t>
        </is>
      </c>
      <c r="P2" s="55" t="n"/>
      <c r="Q2" s="56" t="inlineStr">
        <is>
          <t xml:space="preserve">CASH </t>
        </is>
      </c>
      <c r="R2" s="57" t="n"/>
      <c r="S2" s="56" t="inlineStr">
        <is>
          <t>Credit</t>
        </is>
      </c>
      <c r="T2" s="57" t="n"/>
      <c r="U2" s="45" t="inlineStr">
        <is>
          <t>Qty Diffrence</t>
        </is>
      </c>
      <c r="W2" s="2" t="n"/>
      <c r="X2" s="2" t="n"/>
    </row>
    <row r="3" ht="18.6" customHeight="1" s="69">
      <c r="A3" s="46" t="n"/>
      <c r="B3" s="46" t="n"/>
      <c r="C3" s="46" t="n"/>
      <c r="D3" s="51" t="n"/>
      <c r="E3" s="56" t="inlineStr">
        <is>
          <t>Qty</t>
        </is>
      </c>
      <c r="F3" s="41" t="inlineStr">
        <is>
          <t>Amount</t>
        </is>
      </c>
      <c r="G3" s="56" t="inlineStr">
        <is>
          <t>Qty</t>
        </is>
      </c>
      <c r="H3" s="41" t="inlineStr">
        <is>
          <t>Amount</t>
        </is>
      </c>
      <c r="I3" s="56" t="inlineStr">
        <is>
          <t>Qty</t>
        </is>
      </c>
      <c r="J3" s="41" t="inlineStr">
        <is>
          <t>Amount</t>
        </is>
      </c>
      <c r="K3" s="56" t="inlineStr">
        <is>
          <t>Qty</t>
        </is>
      </c>
      <c r="L3" s="41" t="inlineStr">
        <is>
          <t>Amount</t>
        </is>
      </c>
      <c r="M3" s="56" t="inlineStr">
        <is>
          <t>Qty</t>
        </is>
      </c>
      <c r="N3" s="41" t="inlineStr">
        <is>
          <t>Amount</t>
        </is>
      </c>
      <c r="O3" s="56" t="inlineStr">
        <is>
          <t>Qty</t>
        </is>
      </c>
      <c r="P3" s="41" t="inlineStr">
        <is>
          <t>Amount</t>
        </is>
      </c>
      <c r="Q3" s="56" t="inlineStr">
        <is>
          <t>Qty</t>
        </is>
      </c>
      <c r="R3" s="41" t="inlineStr">
        <is>
          <t>Amount</t>
        </is>
      </c>
      <c r="S3" s="56" t="inlineStr">
        <is>
          <t>Qty</t>
        </is>
      </c>
      <c r="T3" s="41" t="inlineStr">
        <is>
          <t>Amount</t>
        </is>
      </c>
      <c r="U3" s="46" t="n"/>
      <c r="W3" s="2" t="inlineStr">
        <is>
          <t>diesal</t>
        </is>
      </c>
      <c r="X3" s="2">
        <f>+SUMIFS(C15:C25,B15:B25,W3)</f>
        <v/>
      </c>
    </row>
    <row r="4" customFormat="1" s="2">
      <c r="A4" s="3" t="inlineStr">
        <is>
          <t>Petrol</t>
        </is>
      </c>
      <c r="B4" s="12">
        <f>+(H13+H14+H15)/$C$4</f>
        <v/>
      </c>
      <c r="C4" s="4" t="n">
        <v>104.71</v>
      </c>
      <c r="D4" s="5">
        <f>B4*C4</f>
        <v/>
      </c>
      <c r="E4" s="6" t="n">
        <v>0</v>
      </c>
      <c r="F4" s="7">
        <f>+E4*C4</f>
        <v/>
      </c>
      <c r="G4" s="9">
        <f>+(H8*60%)/$C$4</f>
        <v/>
      </c>
      <c r="H4" s="7">
        <f>+G4*C4</f>
        <v/>
      </c>
      <c r="I4" s="6">
        <f>J4/C4</f>
        <v/>
      </c>
      <c r="J4" s="7" t="n">
        <v>0</v>
      </c>
      <c r="K4" s="8">
        <f>+L8/$C$4</f>
        <v/>
      </c>
      <c r="L4" s="7">
        <f>+K4*C4</f>
        <v/>
      </c>
      <c r="M4" s="9">
        <f>+(N8*60%)/$C$4</f>
        <v/>
      </c>
      <c r="N4" s="7">
        <f>+M4*C4</f>
        <v/>
      </c>
      <c r="O4" s="9" t="n"/>
      <c r="P4" s="7">
        <f>+O4*C4</f>
        <v/>
      </c>
      <c r="Q4" s="6" t="n">
        <v>896.64018718365</v>
      </c>
      <c r="R4" s="7">
        <f>+Q4*C4</f>
        <v/>
      </c>
      <c r="S4" s="10">
        <f>+X4</f>
        <v/>
      </c>
      <c r="T4" s="7">
        <f>+S4*C4</f>
        <v/>
      </c>
      <c r="U4" s="11">
        <f>+B4-E4-G4-Q4-S4-K4-I4-M4-O4</f>
        <v/>
      </c>
      <c r="W4" t="inlineStr">
        <is>
          <t>petrol</t>
        </is>
      </c>
      <c r="X4" s="2">
        <f>+SUMIFS(C15:C26,B15:B26,W4)</f>
        <v/>
      </c>
    </row>
    <row r="5" customFormat="1" s="2">
      <c r="A5" s="3" t="inlineStr">
        <is>
          <t>Diesal</t>
        </is>
      </c>
      <c r="B5" s="12">
        <f>+(I13+I14+I15)/$C$5</f>
        <v/>
      </c>
      <c r="C5" s="4" t="n">
        <v>90.20999999999999</v>
      </c>
      <c r="D5" s="5">
        <f>B5*C5</f>
        <v/>
      </c>
      <c r="E5" s="6" t="n">
        <v>0</v>
      </c>
      <c r="F5" s="7">
        <f>+E5*C5</f>
        <v/>
      </c>
      <c r="G5" s="6">
        <f>+(H8*40%)/$C$5</f>
        <v/>
      </c>
      <c r="H5" s="7">
        <f>+G5*C5</f>
        <v/>
      </c>
      <c r="I5" s="6">
        <f>+J8/C5</f>
        <v/>
      </c>
      <c r="J5" s="7">
        <f>+I5*C5</f>
        <v/>
      </c>
      <c r="K5" s="6" t="n">
        <v>0</v>
      </c>
      <c r="L5" s="7">
        <f>+K5*C5</f>
        <v/>
      </c>
      <c r="M5" s="6">
        <f>+(N8*40%)/$C$5</f>
        <v/>
      </c>
      <c r="N5" s="7">
        <f>+M5*C5</f>
        <v/>
      </c>
      <c r="O5" s="9">
        <f>+P8/C5</f>
        <v/>
      </c>
      <c r="P5" s="7">
        <f>+O5*C5</f>
        <v/>
      </c>
      <c r="Q5" s="6" t="n">
        <v>399.9377674315486</v>
      </c>
      <c r="R5" s="7">
        <f>+Q5*C5</f>
        <v/>
      </c>
      <c r="S5" s="10">
        <f>+X3</f>
        <v/>
      </c>
      <c r="T5" s="7">
        <f>+S5*C5</f>
        <v/>
      </c>
      <c r="U5" s="11">
        <f>+B5-E5-G5-Q5-S5-K5-I5-M5-O5</f>
        <v/>
      </c>
      <c r="W5" t="inlineStr">
        <is>
          <t>Petrol Power</t>
        </is>
      </c>
      <c r="X5" s="2">
        <f>+SUMIFS(C17:C27,B17:B27,W5)</f>
        <v/>
      </c>
    </row>
    <row r="6" customFormat="1" s="2">
      <c r="A6" s="3" t="inlineStr">
        <is>
          <t>Petrol Power</t>
        </is>
      </c>
      <c r="B6" s="12">
        <f>+(J13+J14+J15)/$C$6</f>
        <v/>
      </c>
      <c r="C6" s="4" t="n">
        <v>112.8</v>
      </c>
      <c r="D6" s="5">
        <f>B6*C6</f>
        <v/>
      </c>
      <c r="E6" s="6" t="n">
        <v>0</v>
      </c>
      <c r="F6" s="7">
        <f>+E6*C6</f>
        <v/>
      </c>
      <c r="G6" s="6" t="n"/>
      <c r="H6" s="7">
        <f>+G6*C6</f>
        <v/>
      </c>
      <c r="I6" s="6" t="n">
        <v>0</v>
      </c>
      <c r="J6" s="7">
        <f>+I6*C6</f>
        <v/>
      </c>
      <c r="K6" s="6" t="n">
        <v>0</v>
      </c>
      <c r="L6" s="7">
        <f>+K6*C6</f>
        <v/>
      </c>
      <c r="M6" s="9" t="n">
        <v>0</v>
      </c>
      <c r="N6" s="7">
        <f>+M6*C6</f>
        <v/>
      </c>
      <c r="O6" s="9" t="n"/>
      <c r="P6" s="7">
        <f>+O6*C6</f>
        <v/>
      </c>
      <c r="Q6" s="6" t="n">
        <v>45.37234042553192</v>
      </c>
      <c r="R6" s="7">
        <f>+Q6*C6</f>
        <v/>
      </c>
      <c r="S6" s="10">
        <f>+X5</f>
        <v/>
      </c>
      <c r="T6" s="7">
        <f>+S6*C6</f>
        <v/>
      </c>
      <c r="U6" s="11">
        <f>+B6-E6-G6-Q6-S6-K6-I6-M6-O6</f>
        <v/>
      </c>
    </row>
    <row r="7" customFormat="1" s="2">
      <c r="A7" s="3" t="n"/>
      <c r="B7" s="38">
        <f>SUM(B4:B6)</f>
        <v/>
      </c>
      <c r="C7" s="3" t="n"/>
      <c r="D7" s="13">
        <f>SUM(D4:D6)</f>
        <v/>
      </c>
      <c r="E7" s="14">
        <f>SUM(E4:E6)</f>
        <v/>
      </c>
      <c r="F7" s="15">
        <f>SUM(F4:F6)</f>
        <v/>
      </c>
      <c r="G7" s="14">
        <f>SUM(G4:G6)</f>
        <v/>
      </c>
      <c r="H7" s="15">
        <f>SUM(H4:H6)</f>
        <v/>
      </c>
      <c r="I7" s="14">
        <f>SUM(I4:I6)</f>
        <v/>
      </c>
      <c r="J7" s="15">
        <f>SUM(J4:J6)</f>
        <v/>
      </c>
      <c r="K7" s="14">
        <f>SUM(K4:K6)</f>
        <v/>
      </c>
      <c r="L7" s="15">
        <f>SUM(L4:L6)</f>
        <v/>
      </c>
      <c r="M7" s="14">
        <f>SUM(M4:M6)</f>
        <v/>
      </c>
      <c r="N7" s="15">
        <f>SUM(N4:N6)</f>
        <v/>
      </c>
      <c r="O7" s="14">
        <f>SUM(O4:O6)</f>
        <v/>
      </c>
      <c r="P7" s="15">
        <f>SUM(P4:P6)</f>
        <v/>
      </c>
      <c r="Q7" s="14">
        <f>SUM(Q4:Q6)</f>
        <v/>
      </c>
      <c r="R7" s="15">
        <f>SUM(R4:R6)</f>
        <v/>
      </c>
      <c r="S7" s="14">
        <f>SUM(S4:S6)</f>
        <v/>
      </c>
      <c r="T7" s="15">
        <f>SUM(T4:T6)</f>
        <v/>
      </c>
      <c r="U7" s="11">
        <f>+B7-E7-G7-Q7-S7-K7-I7-M7-O7</f>
        <v/>
      </c>
    </row>
    <row r="8" ht="15" customFormat="1" customHeight="1" s="2" thickBot="1">
      <c r="A8" s="52" t="inlineStr">
        <is>
          <t>Actual Amount</t>
        </is>
      </c>
      <c r="B8" s="53" t="n"/>
      <c r="C8" s="16" t="n"/>
      <c r="D8" s="17" t="n"/>
      <c r="E8" s="18" t="n"/>
      <c r="F8" s="19" t="n">
        <v>0</v>
      </c>
      <c r="G8" s="18" t="n"/>
      <c r="H8" s="19" t="n">
        <v>79514.74000000001</v>
      </c>
      <c r="I8" s="18" t="n"/>
      <c r="J8" s="19" t="n">
        <v>0</v>
      </c>
      <c r="K8" s="18" t="n"/>
      <c r="L8" s="19" t="n">
        <v>8975.59</v>
      </c>
      <c r="M8" s="20" t="n"/>
      <c r="N8" s="19" t="n">
        <v>95490.62</v>
      </c>
      <c r="O8" s="20" t="inlineStr"/>
      <c r="P8" s="19" t="n">
        <v>0</v>
      </c>
      <c r="Q8" s="18" t="n">
        <v>0</v>
      </c>
      <c r="R8" s="19" t="n">
        <v>134087</v>
      </c>
      <c r="S8" s="18" t="n"/>
      <c r="T8" s="19" t="n">
        <v>64306.47</v>
      </c>
      <c r="U8" s="17" t="n"/>
    </row>
    <row r="9" ht="15.6" customHeight="1" s="69" thickBot="1" thickTop="1">
      <c r="A9" s="48" t="inlineStr">
        <is>
          <t>Diffrence should be zero</t>
        </is>
      </c>
      <c r="B9" s="49" t="n"/>
      <c r="C9" s="49" t="n"/>
      <c r="D9" s="21" t="n"/>
      <c r="E9" s="21" t="n"/>
      <c r="F9" s="22">
        <f>+F7-F8</f>
        <v/>
      </c>
      <c r="G9" s="21" t="n"/>
      <c r="H9" s="22">
        <f>+H7-H8</f>
        <v/>
      </c>
      <c r="I9" s="21" t="n"/>
      <c r="J9" s="22">
        <f>+J7-J8</f>
        <v/>
      </c>
      <c r="K9" s="21" t="n"/>
      <c r="L9" s="22">
        <f>+L7-L8</f>
        <v/>
      </c>
      <c r="M9" s="22" t="n"/>
      <c r="N9" s="22">
        <f>+N7-N8</f>
        <v/>
      </c>
      <c r="O9" s="22" t="n"/>
      <c r="P9" s="22">
        <f>+P7-P8</f>
        <v/>
      </c>
      <c r="Q9" s="21" t="n"/>
      <c r="R9" s="22">
        <f>+R7-R8</f>
        <v/>
      </c>
      <c r="S9" s="21" t="n"/>
      <c r="T9" s="22">
        <f>+T7-T8</f>
        <v/>
      </c>
      <c r="U9" s="23" t="n"/>
    </row>
    <row r="10" ht="15" customHeight="1" s="69" thickTop="1">
      <c r="A10" s="24" t="n"/>
      <c r="B10" s="24" t="n">
        <v>0</v>
      </c>
      <c r="C10" s="24" t="n"/>
      <c r="D10" s="2" t="n"/>
      <c r="E10" s="2" t="n"/>
      <c r="F10" s="25" t="n"/>
      <c r="G10" s="2" t="n"/>
      <c r="H10" s="25" t="n"/>
      <c r="I10" s="2" t="n"/>
      <c r="J10" s="25" t="n"/>
      <c r="K10" s="2" t="n"/>
      <c r="L10" s="6" t="n"/>
      <c r="M10" s="2" t="n"/>
      <c r="N10" s="25" t="n"/>
      <c r="O10" s="25" t="n"/>
      <c r="P10" s="25" t="n"/>
      <c r="Q10" s="25" t="n"/>
      <c r="R10" s="25" t="n"/>
      <c r="S10" s="2" t="n"/>
      <c r="T10" s="25" t="n"/>
      <c r="U10" s="2" t="n"/>
    </row>
    <row r="11">
      <c r="A11" s="26" t="inlineStr">
        <is>
          <t>sales value diff</t>
        </is>
      </c>
      <c r="D11" s="27">
        <f>+D7-F8-H8-L8-J8-R8-T8-N8-P8</f>
        <v/>
      </c>
      <c r="F11" s="72" t="n"/>
      <c r="M11" s="72" t="n"/>
    </row>
    <row r="12">
      <c r="F12" s="72" t="n"/>
      <c r="G12" s="72" t="n"/>
      <c r="H12" s="29" t="inlineStr">
        <is>
          <t>Petrol</t>
        </is>
      </c>
      <c r="I12" s="29" t="inlineStr">
        <is>
          <t>Diesal</t>
        </is>
      </c>
      <c r="J12" s="29" t="inlineStr">
        <is>
          <t>Power</t>
        </is>
      </c>
    </row>
    <row r="13">
      <c r="A13" s="58" t="inlineStr">
        <is>
          <t>CREDIT DETAIL</t>
        </is>
      </c>
      <c r="B13" s="59" t="n"/>
      <c r="C13" s="59" t="n"/>
      <c r="D13" s="59" t="n"/>
      <c r="E13" s="59" t="n"/>
      <c r="F13" s="57" t="n"/>
      <c r="H13" s="79" t="n">
        <v>85422</v>
      </c>
      <c r="I13" s="80" t="n">
        <v>50052</v>
      </c>
      <c r="J13" s="79" t="n">
        <v>5118</v>
      </c>
    </row>
    <row r="14">
      <c r="A14" s="29" t="inlineStr">
        <is>
          <t>particular</t>
        </is>
      </c>
      <c r="B14" s="29" t="inlineStr">
        <is>
          <t xml:space="preserve">Type </t>
        </is>
      </c>
      <c r="C14" s="31" t="inlineStr">
        <is>
          <t>QTY</t>
        </is>
      </c>
      <c r="D14" s="31" t="inlineStr">
        <is>
          <t>RATE</t>
        </is>
      </c>
      <c r="E14" s="31" t="inlineStr">
        <is>
          <t>AMOUNT</t>
        </is>
      </c>
      <c r="F14" s="32" t="inlineStr">
        <is>
          <t>inv no</t>
        </is>
      </c>
      <c r="H14" s="79" t="n">
        <v>122444</v>
      </c>
      <c r="I14" s="80" t="n">
        <v>82521</v>
      </c>
      <c r="J14" s="79" t="n"/>
      <c r="K14" s="74" t="n"/>
      <c r="L14" s="74" t="n"/>
      <c r="M14" s="74" t="n"/>
    </row>
    <row r="15">
      <c r="A15" s="33" t="inlineStr">
        <is>
          <t>Sitaram Yadav</t>
        </is>
      </c>
      <c r="B15" s="34" t="inlineStr">
        <is>
          <t>diesal</t>
        </is>
      </c>
      <c r="C15" s="29">
        <f>+E15/D15</f>
        <v/>
      </c>
      <c r="D15" s="79">
        <f>+VLOOKUP(B15,A$4:C$6,3,0)</f>
        <v/>
      </c>
      <c r="E15" s="81" t="n">
        <v>2706.3</v>
      </c>
      <c r="F15" s="34" t="n">
        <v>21378</v>
      </c>
      <c r="H15" s="80" t="n"/>
      <c r="I15" s="80" t="n">
        <v>36814</v>
      </c>
      <c r="J15" s="80" t="n"/>
      <c r="K15" s="72" t="n"/>
    </row>
    <row r="16">
      <c r="A16" s="33" t="inlineStr">
        <is>
          <t>Sitaram Yadav</t>
        </is>
      </c>
      <c r="B16" s="34" t="inlineStr">
        <is>
          <t>diesal</t>
        </is>
      </c>
      <c r="C16" s="29">
        <f>+E16/D16</f>
        <v/>
      </c>
      <c r="D16" s="79">
        <f>+VLOOKUP(B16,A$4:C$6,3,0)</f>
        <v/>
      </c>
      <c r="E16" s="81" t="n">
        <v>35000.57</v>
      </c>
      <c r="F16" s="34" t="n">
        <v>21380</v>
      </c>
      <c r="H16" s="79">
        <f>+H24/C4</f>
        <v/>
      </c>
      <c r="I16" s="43">
        <f>+I24/C5</f>
        <v/>
      </c>
      <c r="J16" s="43">
        <f>+J24/C6</f>
        <v/>
      </c>
      <c r="K16" s="72" t="n"/>
      <c r="M16" s="72" t="n"/>
    </row>
    <row r="17">
      <c r="A17" s="33" t="inlineStr">
        <is>
          <t>mool Chand yadav</t>
        </is>
      </c>
      <c r="B17" s="34" t="inlineStr">
        <is>
          <t>diesal</t>
        </is>
      </c>
      <c r="C17" s="29">
        <f>+E17/D17</f>
        <v/>
      </c>
      <c r="D17" s="79">
        <f>+VLOOKUP(B17,A$4:C$6,3,0)</f>
        <v/>
      </c>
      <c r="E17" s="82" t="n">
        <v>18671.66</v>
      </c>
      <c r="F17" s="34" t="n">
        <v>21379</v>
      </c>
      <c r="H17" s="72" t="n"/>
      <c r="K17" s="72" t="n"/>
    </row>
    <row r="18">
      <c r="A18" s="33" t="inlineStr">
        <is>
          <t>mool Chand yadav</t>
        </is>
      </c>
      <c r="B18" s="34" t="inlineStr">
        <is>
          <t>diesal</t>
        </is>
      </c>
      <c r="C18" s="29">
        <f>+E18/D18</f>
        <v/>
      </c>
      <c r="D18" s="79">
        <f>+VLOOKUP(B18,A$4:C$6,3,0)</f>
        <v/>
      </c>
      <c r="E18" s="82" t="n">
        <v>3550</v>
      </c>
      <c r="F18" s="34" t="n">
        <v>21384</v>
      </c>
    </row>
    <row r="19">
      <c r="A19" s="33" t="inlineStr">
        <is>
          <t>mk Soler</t>
        </is>
      </c>
      <c r="B19" s="34" t="inlineStr">
        <is>
          <t>diesal</t>
        </is>
      </c>
      <c r="C19" s="29">
        <f>+E19/D19</f>
        <v/>
      </c>
      <c r="D19" s="79">
        <f>+VLOOKUP(B19,A$4:C$6,3,0)</f>
        <v/>
      </c>
      <c r="E19" s="82" t="n">
        <v>3377.94</v>
      </c>
      <c r="F19" s="39" t="n">
        <v>21383</v>
      </c>
      <c r="K19" s="72" t="n"/>
      <c r="M19" s="72" t="n"/>
    </row>
    <row r="20">
      <c r="A20" s="33" t="n"/>
      <c r="B20" s="34" t="inlineStr">
        <is>
          <t>diesal</t>
        </is>
      </c>
      <c r="C20" s="29">
        <f>+E20/D20</f>
        <v/>
      </c>
      <c r="D20" s="79">
        <f>+VLOOKUP(B20,A$4:C$6,3,0)</f>
        <v/>
      </c>
      <c r="E20" s="82" t="n"/>
      <c r="F20" s="79" t="n"/>
      <c r="K20" s="72" t="n"/>
    </row>
    <row r="21">
      <c r="A21" s="33" t="n"/>
      <c r="B21" s="34" t="inlineStr">
        <is>
          <t>diesal</t>
        </is>
      </c>
      <c r="C21" s="29">
        <f>+E21/D21</f>
        <v/>
      </c>
      <c r="D21" s="79">
        <f>+VLOOKUP(B21,A$4:C$6,3,0)</f>
        <v/>
      </c>
      <c r="E21" s="82" t="n"/>
      <c r="F21" s="35" t="n"/>
      <c r="H21" s="71" t="n"/>
      <c r="K21" s="72" t="n"/>
      <c r="M21" s="72" t="n"/>
    </row>
    <row r="22">
      <c r="A22" s="33" t="n"/>
      <c r="B22" s="34" t="inlineStr">
        <is>
          <t>diesal</t>
        </is>
      </c>
      <c r="C22" s="29">
        <f>+E22/D22</f>
        <v/>
      </c>
      <c r="D22" s="79">
        <f>+VLOOKUP(B22,A$4:C$6,3,0)</f>
        <v/>
      </c>
      <c r="E22" s="82" t="n"/>
      <c r="F22" s="79" t="n"/>
    </row>
    <row r="23">
      <c r="A23" s="34" t="n"/>
      <c r="B23" s="34" t="inlineStr">
        <is>
          <t>diesal</t>
        </is>
      </c>
      <c r="C23" s="29">
        <f>+E23/D23</f>
        <v/>
      </c>
      <c r="D23" s="79">
        <f>+VLOOKUP(B23,A$4:C$6,3,0)</f>
        <v/>
      </c>
      <c r="E23" s="82" t="n"/>
      <c r="F23" s="79" t="n"/>
    </row>
    <row r="24">
      <c r="A24" s="34" t="n"/>
      <c r="B24" s="34" t="inlineStr">
        <is>
          <t>diesal</t>
        </is>
      </c>
      <c r="C24" s="29">
        <f>+E24/D24</f>
        <v/>
      </c>
      <c r="D24" s="79">
        <f>+VLOOKUP(B24,A$4:C$6,3,0)</f>
        <v/>
      </c>
      <c r="E24" s="29" t="n"/>
      <c r="F24" s="79" t="n"/>
      <c r="H24" s="72" t="n"/>
      <c r="I24" s="72" t="n"/>
      <c r="J24" s="72" t="n"/>
    </row>
    <row r="25">
      <c r="A25" s="34" t="n"/>
      <c r="B25" s="34" t="inlineStr">
        <is>
          <t>diesal</t>
        </is>
      </c>
      <c r="C25" s="29">
        <f>+E25/D25</f>
        <v/>
      </c>
      <c r="D25" s="79">
        <f>+VLOOKUP(B25,A$4:C$6,3,0)</f>
        <v/>
      </c>
      <c r="E25" s="29" t="n"/>
      <c r="F25" s="79" t="n"/>
      <c r="H25" s="72" t="n"/>
    </row>
    <row r="26">
      <c r="A26" s="79" t="n"/>
      <c r="B26" s="79" t="n"/>
      <c r="C26" s="29">
        <f>SUM(C15:C25)</f>
        <v/>
      </c>
      <c r="D26" s="29" t="n"/>
      <c r="E26" s="29">
        <f>SUM(E15:E25)</f>
        <v/>
      </c>
      <c r="F26" s="79" t="n"/>
    </row>
    <row r="50">
      <c r="E50" t="n">
        <v>9</v>
      </c>
    </row>
  </sheetData>
  <mergeCells count="16">
    <mergeCell ref="O2:P2"/>
    <mergeCell ref="M2:N2"/>
    <mergeCell ref="S2:T2"/>
    <mergeCell ref="Q2:R2"/>
    <mergeCell ref="A13:F13"/>
    <mergeCell ref="G2:H2"/>
    <mergeCell ref="E2:F2"/>
    <mergeCell ref="K2:L2"/>
    <mergeCell ref="I2:J2"/>
    <mergeCell ref="U2:U3"/>
    <mergeCell ref="C2:C3"/>
    <mergeCell ref="A9:C9"/>
    <mergeCell ref="B2:B3"/>
    <mergeCell ref="A2:A3"/>
    <mergeCell ref="D2:D3"/>
    <mergeCell ref="A8:B8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X50"/>
  <sheetViews>
    <sheetView workbookViewId="0">
      <selection activeCell="A1" sqref="A1"/>
    </sheetView>
  </sheetViews>
  <sheetFormatPr baseColWidth="8" defaultColWidth="9.109375" defaultRowHeight="14.4"/>
  <cols>
    <col width="13.109375" customWidth="1" style="69" min="1" max="1"/>
    <col width="12" customWidth="1" style="69" min="2" max="2"/>
    <col width="12" customWidth="1" style="69" min="4" max="4"/>
    <col width="13.109375" customWidth="1" style="69" min="5" max="5"/>
    <col width="14" customWidth="1" style="69" min="6" max="6"/>
    <col width="10.109375" customWidth="1" style="69" min="7" max="7"/>
    <col width="10.6640625" customWidth="1" style="69" min="8" max="8"/>
    <col width="9.5546875" customWidth="1" style="69" min="9" max="9"/>
    <col width="10.6640625" customWidth="1" style="69" min="10" max="14"/>
    <col width="13.44140625" customWidth="1" style="69" min="15" max="15"/>
    <col width="11.88671875" customWidth="1" style="69" min="16" max="16"/>
    <col width="10.6640625" customWidth="1" style="69" min="18" max="18"/>
    <col width="9.5546875" customWidth="1" style="69" min="19" max="19"/>
    <col width="10.6640625" customWidth="1" style="69" min="20" max="20"/>
    <col width="9.6640625" customWidth="1" style="69" min="21" max="21"/>
    <col width="12.5546875" customWidth="1" style="69" min="23" max="23"/>
    <col width="12" customWidth="1" style="69" min="24" max="24"/>
  </cols>
  <sheetData>
    <row r="1" ht="18.6" customHeight="1" s="69"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</row>
    <row r="2" ht="18.6" customHeight="1" s="69">
      <c r="A2" s="47" t="inlineStr">
        <is>
          <t>Particular</t>
        </is>
      </c>
      <c r="B2" s="47" t="inlineStr">
        <is>
          <t>Qty</t>
        </is>
      </c>
      <c r="C2" s="47" t="inlineStr">
        <is>
          <t>Rate</t>
        </is>
      </c>
      <c r="D2" s="50" t="inlineStr">
        <is>
          <t>Amount</t>
        </is>
      </c>
      <c r="E2" s="56" t="inlineStr">
        <is>
          <t>Pos SBI</t>
        </is>
      </c>
      <c r="F2" s="57" t="n"/>
      <c r="G2" s="56" t="inlineStr">
        <is>
          <t>Paytm</t>
        </is>
      </c>
      <c r="H2" s="57" t="n"/>
      <c r="I2" s="56" t="inlineStr">
        <is>
          <t>HP Card</t>
        </is>
      </c>
      <c r="J2" s="57" t="n"/>
      <c r="K2" s="56" t="inlineStr">
        <is>
          <t>ICICI</t>
        </is>
      </c>
      <c r="L2" s="57" t="n"/>
      <c r="M2" s="56" t="inlineStr">
        <is>
          <t>phone pe</t>
        </is>
      </c>
      <c r="N2" s="57" t="n"/>
      <c r="O2" s="54" t="inlineStr">
        <is>
          <t>mobiquick</t>
        </is>
      </c>
      <c r="P2" s="55" t="n"/>
      <c r="Q2" s="56" t="inlineStr">
        <is>
          <t xml:space="preserve">CASH </t>
        </is>
      </c>
      <c r="R2" s="57" t="n"/>
      <c r="S2" s="56" t="inlineStr">
        <is>
          <t>Credit</t>
        </is>
      </c>
      <c r="T2" s="57" t="n"/>
      <c r="U2" s="45" t="inlineStr">
        <is>
          <t>Qty Diffrence</t>
        </is>
      </c>
      <c r="W2" s="2" t="n"/>
      <c r="X2" s="2" t="n"/>
    </row>
    <row r="3" ht="18.6" customHeight="1" s="69">
      <c r="A3" s="46" t="n"/>
      <c r="B3" s="46" t="n"/>
      <c r="C3" s="46" t="n"/>
      <c r="D3" s="51" t="n"/>
      <c r="E3" s="56" t="inlineStr">
        <is>
          <t>Qty</t>
        </is>
      </c>
      <c r="F3" s="41" t="inlineStr">
        <is>
          <t>Amount</t>
        </is>
      </c>
      <c r="G3" s="56" t="inlineStr">
        <is>
          <t>Qty</t>
        </is>
      </c>
      <c r="H3" s="41" t="inlineStr">
        <is>
          <t>Amount</t>
        </is>
      </c>
      <c r="I3" s="56" t="inlineStr">
        <is>
          <t>Qty</t>
        </is>
      </c>
      <c r="J3" s="41" t="inlineStr">
        <is>
          <t>Amount</t>
        </is>
      </c>
      <c r="K3" s="56" t="inlineStr">
        <is>
          <t>Qty</t>
        </is>
      </c>
      <c r="L3" s="41" t="inlineStr">
        <is>
          <t>Amount</t>
        </is>
      </c>
      <c r="M3" s="56" t="inlineStr">
        <is>
          <t>Qty</t>
        </is>
      </c>
      <c r="N3" s="41" t="inlineStr">
        <is>
          <t>Amount</t>
        </is>
      </c>
      <c r="O3" s="56" t="inlineStr">
        <is>
          <t>Qty</t>
        </is>
      </c>
      <c r="P3" s="41" t="inlineStr">
        <is>
          <t>Amount</t>
        </is>
      </c>
      <c r="Q3" s="56" t="inlineStr">
        <is>
          <t>Qty</t>
        </is>
      </c>
      <c r="R3" s="41" t="inlineStr">
        <is>
          <t>Amount</t>
        </is>
      </c>
      <c r="S3" s="56" t="inlineStr">
        <is>
          <t>Qty</t>
        </is>
      </c>
      <c r="T3" s="41" t="inlineStr">
        <is>
          <t>Amount</t>
        </is>
      </c>
      <c r="U3" s="46" t="n"/>
      <c r="W3" s="2" t="inlineStr">
        <is>
          <t>diesal</t>
        </is>
      </c>
      <c r="X3" s="2">
        <f>+SUMIFS(C15:C25,B15:B25,W3)</f>
        <v/>
      </c>
    </row>
    <row r="4" customFormat="1" s="2">
      <c r="A4" s="3" t="inlineStr">
        <is>
          <t>Petrol</t>
        </is>
      </c>
      <c r="B4" s="12">
        <f>+(H13+H14+H15)/$C$4</f>
        <v/>
      </c>
      <c r="C4" s="4" t="n">
        <v>104.71</v>
      </c>
      <c r="D4" s="5">
        <f>B4*C4</f>
        <v/>
      </c>
      <c r="E4" s="6" t="n">
        <v>0</v>
      </c>
      <c r="F4" s="7">
        <f>+E4*C4</f>
        <v/>
      </c>
      <c r="G4" s="9">
        <f>+(H8*60%)/$C$4</f>
        <v/>
      </c>
      <c r="H4" s="7">
        <f>+G4*C4</f>
        <v/>
      </c>
      <c r="I4" s="6">
        <f>J4/C4</f>
        <v/>
      </c>
      <c r="J4" s="7" t="n">
        <v>0</v>
      </c>
      <c r="K4" s="8">
        <f>+L8/$C$4</f>
        <v/>
      </c>
      <c r="L4" s="7">
        <f>+K4*C4</f>
        <v/>
      </c>
      <c r="M4" s="9">
        <f>+(N8*60%)/$C$4</f>
        <v/>
      </c>
      <c r="N4" s="7">
        <f>+M4*C4</f>
        <v/>
      </c>
      <c r="O4" s="9" t="n"/>
      <c r="P4" s="7">
        <f>+O4*C4</f>
        <v/>
      </c>
      <c r="Q4" s="6" t="n">
        <v>558.3884442746635</v>
      </c>
      <c r="R4" s="7">
        <f>+Q4*C4</f>
        <v/>
      </c>
      <c r="S4" s="10">
        <f>+X4</f>
        <v/>
      </c>
      <c r="T4" s="7">
        <f>+S4*C4</f>
        <v/>
      </c>
      <c r="U4" s="11">
        <f>+B4-E4-G4-Q4-S4-K4-I4-M4-O4</f>
        <v/>
      </c>
      <c r="W4" t="inlineStr">
        <is>
          <t>petrol</t>
        </is>
      </c>
      <c r="X4" s="2">
        <f>+SUMIFS(C15:C26,B15:B26,W4)</f>
        <v/>
      </c>
    </row>
    <row r="5" customFormat="1" s="2">
      <c r="A5" s="3" t="inlineStr">
        <is>
          <t>Diesal</t>
        </is>
      </c>
      <c r="B5" s="12">
        <f>+(I13+I14+I15)/$C$5</f>
        <v/>
      </c>
      <c r="C5" s="4" t="n">
        <v>90.20999999999999</v>
      </c>
      <c r="D5" s="5">
        <f>B5*C5</f>
        <v/>
      </c>
      <c r="E5" s="6" t="n">
        <v>0</v>
      </c>
      <c r="F5" s="7">
        <f>+E5*C5</f>
        <v/>
      </c>
      <c r="G5" s="6">
        <f>+(H8*40%)/$C$5</f>
        <v/>
      </c>
      <c r="H5" s="7">
        <f>+G5*C5</f>
        <v/>
      </c>
      <c r="I5" s="6">
        <f>+J8/C5</f>
        <v/>
      </c>
      <c r="J5" s="7">
        <f>+I5*C5</f>
        <v/>
      </c>
      <c r="K5" s="6" t="n">
        <v>0</v>
      </c>
      <c r="L5" s="7">
        <f>+K5*C5</f>
        <v/>
      </c>
      <c r="M5" s="6">
        <f>+(N8*40%)/$C$5</f>
        <v/>
      </c>
      <c r="N5" s="7">
        <f>+M5*C5</f>
        <v/>
      </c>
      <c r="O5" s="9">
        <f>+P8/C5</f>
        <v/>
      </c>
      <c r="P5" s="7">
        <f>+O5*C5</f>
        <v/>
      </c>
      <c r="Q5" s="6" t="n">
        <v>579.3341758119943</v>
      </c>
      <c r="R5" s="7">
        <f>+Q5*C5</f>
        <v/>
      </c>
      <c r="S5" s="10">
        <f>+X3</f>
        <v/>
      </c>
      <c r="T5" s="7">
        <f>+S5*C5</f>
        <v/>
      </c>
      <c r="U5" s="11">
        <f>+B5-E5-G5-Q5-S5-K5-I5-M5-O5</f>
        <v/>
      </c>
      <c r="W5" t="inlineStr">
        <is>
          <t>Petrol Power</t>
        </is>
      </c>
      <c r="X5" s="2">
        <f>+SUMIFS(C17:C27,B17:B27,W5)</f>
        <v/>
      </c>
    </row>
    <row r="6" customFormat="1" s="2">
      <c r="A6" s="3" t="inlineStr">
        <is>
          <t>Petrol Power</t>
        </is>
      </c>
      <c r="B6" s="12">
        <f>+(J13+J14+J15)/$C$6</f>
        <v/>
      </c>
      <c r="C6" s="4" t="n">
        <v>112.8</v>
      </c>
      <c r="D6" s="5">
        <f>B6*C6</f>
        <v/>
      </c>
      <c r="E6" s="6" t="n">
        <v>0</v>
      </c>
      <c r="F6" s="7">
        <f>+E6*C6</f>
        <v/>
      </c>
      <c r="G6" s="6" t="n"/>
      <c r="H6" s="7">
        <f>+G6*C6</f>
        <v/>
      </c>
      <c r="I6" s="6" t="n">
        <v>0</v>
      </c>
      <c r="J6" s="7">
        <f>+I6*C6</f>
        <v/>
      </c>
      <c r="K6" s="6" t="n">
        <v>0</v>
      </c>
      <c r="L6" s="7">
        <f>+K6*C6</f>
        <v/>
      </c>
      <c r="M6" s="9" t="n">
        <v>0</v>
      </c>
      <c r="N6" s="7">
        <f>+M6*C6</f>
        <v/>
      </c>
      <c r="O6" s="9" t="n"/>
      <c r="P6" s="7">
        <f>+O6*C6</f>
        <v/>
      </c>
      <c r="Q6" s="6" t="n">
        <v>129.5035460992908</v>
      </c>
      <c r="R6" s="7">
        <f>+Q6*C6</f>
        <v/>
      </c>
      <c r="S6" s="10">
        <f>+X5</f>
        <v/>
      </c>
      <c r="T6" s="7">
        <f>+S6*C6</f>
        <v/>
      </c>
      <c r="U6" s="11">
        <f>+B6-E6-G6-Q6-S6-K6-I6-M6-O6</f>
        <v/>
      </c>
    </row>
    <row r="7" customFormat="1" s="2">
      <c r="A7" s="3" t="n"/>
      <c r="B7" s="38">
        <f>SUM(B4:B6)</f>
        <v/>
      </c>
      <c r="C7" s="3" t="n"/>
      <c r="D7" s="13">
        <f>SUM(D4:D6)</f>
        <v/>
      </c>
      <c r="E7" s="14">
        <f>SUM(E4:E6)</f>
        <v/>
      </c>
      <c r="F7" s="15">
        <f>SUM(F4:F6)</f>
        <v/>
      </c>
      <c r="G7" s="14">
        <f>SUM(G4:G6)</f>
        <v/>
      </c>
      <c r="H7" s="15">
        <f>SUM(H4:H6)</f>
        <v/>
      </c>
      <c r="I7" s="14">
        <f>SUM(I4:I6)</f>
        <v/>
      </c>
      <c r="J7" s="15">
        <f>SUM(J4:J6)</f>
        <v/>
      </c>
      <c r="K7" s="14">
        <f>SUM(K4:K6)</f>
        <v/>
      </c>
      <c r="L7" s="15">
        <f>SUM(L4:L6)</f>
        <v/>
      </c>
      <c r="M7" s="14">
        <f>SUM(M4:M6)</f>
        <v/>
      </c>
      <c r="N7" s="15">
        <f>SUM(N4:N6)</f>
        <v/>
      </c>
      <c r="O7" s="14">
        <f>SUM(O4:O6)</f>
        <v/>
      </c>
      <c r="P7" s="15">
        <f>SUM(P4:P6)</f>
        <v/>
      </c>
      <c r="Q7" s="14">
        <f>SUM(Q4:Q6)</f>
        <v/>
      </c>
      <c r="R7" s="15">
        <f>SUM(R4:R6)</f>
        <v/>
      </c>
      <c r="S7" s="14">
        <f>SUM(S4:S6)</f>
        <v/>
      </c>
      <c r="T7" s="15">
        <f>SUM(T4:T6)</f>
        <v/>
      </c>
      <c r="U7" s="11">
        <f>+B7-E7-G7-Q7-S7-K7-I7-M7-O7</f>
        <v/>
      </c>
    </row>
    <row r="8" ht="15" customFormat="1" customHeight="1" s="2" thickBot="1">
      <c r="A8" s="52" t="inlineStr">
        <is>
          <t>Actual Amount</t>
        </is>
      </c>
      <c r="B8" s="53" t="n"/>
      <c r="C8" s="16" t="n"/>
      <c r="D8" s="17" t="n"/>
      <c r="E8" s="18" t="n"/>
      <c r="F8" s="19" t="n">
        <v>0</v>
      </c>
      <c r="G8" s="18" t="n"/>
      <c r="H8" s="19" t="n">
        <v>71504.25999999999</v>
      </c>
      <c r="I8" s="18" t="n"/>
      <c r="J8" s="19" t="n">
        <v>7000</v>
      </c>
      <c r="K8" s="18" t="n"/>
      <c r="L8" s="19" t="n">
        <v>25353</v>
      </c>
      <c r="M8" s="20" t="n"/>
      <c r="N8" s="19" t="n">
        <v>76512.64999999999</v>
      </c>
      <c r="O8" s="20" t="inlineStr"/>
      <c r="P8" s="19" t="n">
        <v>0</v>
      </c>
      <c r="Q8" s="18" t="n">
        <v>0</v>
      </c>
      <c r="R8" s="19" t="n">
        <v>123039</v>
      </c>
      <c r="S8" s="18" t="n"/>
      <c r="T8" s="19" t="n">
        <v>55819</v>
      </c>
      <c r="U8" s="17" t="n"/>
    </row>
    <row r="9" ht="15.6" customHeight="1" s="69" thickBot="1" thickTop="1">
      <c r="A9" s="48" t="inlineStr">
        <is>
          <t>Diffrence should be zero</t>
        </is>
      </c>
      <c r="B9" s="49" t="n"/>
      <c r="C9" s="49" t="n"/>
      <c r="D9" s="21" t="n"/>
      <c r="E9" s="21" t="n"/>
      <c r="F9" s="22">
        <f>+F7-F8</f>
        <v/>
      </c>
      <c r="G9" s="21" t="n"/>
      <c r="H9" s="22">
        <f>+H7-H8</f>
        <v/>
      </c>
      <c r="I9" s="21" t="n"/>
      <c r="J9" s="22">
        <f>+J7-J8</f>
        <v/>
      </c>
      <c r="K9" s="21" t="n"/>
      <c r="L9" s="22">
        <f>+L7-L8</f>
        <v/>
      </c>
      <c r="M9" s="22" t="n"/>
      <c r="N9" s="22">
        <f>+N7-N8</f>
        <v/>
      </c>
      <c r="O9" s="22" t="n"/>
      <c r="P9" s="22">
        <f>+P7-P8</f>
        <v/>
      </c>
      <c r="Q9" s="21" t="n"/>
      <c r="R9" s="22">
        <f>+R7-R8</f>
        <v/>
      </c>
      <c r="S9" s="21" t="n"/>
      <c r="T9" s="22">
        <f>+T7-T8</f>
        <v/>
      </c>
      <c r="U9" s="23" t="n"/>
    </row>
    <row r="10" ht="15" customHeight="1" s="69" thickTop="1">
      <c r="A10" s="24" t="n"/>
      <c r="B10" s="24" t="n">
        <v>0</v>
      </c>
      <c r="C10" s="24" t="n"/>
      <c r="D10" s="2" t="n"/>
      <c r="E10" s="2" t="n"/>
      <c r="F10" s="25" t="n"/>
      <c r="G10" s="2" t="n"/>
      <c r="H10" s="25" t="n"/>
      <c r="I10" s="2" t="n"/>
      <c r="J10" s="25" t="n"/>
      <c r="K10" s="2" t="n"/>
      <c r="L10" s="6" t="n"/>
      <c r="M10" s="2" t="n"/>
      <c r="N10" s="25" t="n"/>
      <c r="O10" s="25" t="n"/>
      <c r="P10" s="25" t="n"/>
      <c r="Q10" s="25" t="n"/>
      <c r="R10" s="25" t="n"/>
      <c r="S10" s="2" t="n"/>
      <c r="T10" s="25" t="n"/>
      <c r="U10" s="2" t="n"/>
    </row>
    <row r="11">
      <c r="A11" s="26" t="inlineStr">
        <is>
          <t>sales value diff</t>
        </is>
      </c>
      <c r="D11" s="27">
        <f>+D7-F8-H8-L8-J8-R8-T8-N8-P8</f>
        <v/>
      </c>
      <c r="F11" s="72" t="n"/>
      <c r="M11" s="72" t="n"/>
    </row>
    <row r="12">
      <c r="F12" s="72" t="n"/>
      <c r="G12" s="72" t="n"/>
      <c r="H12" s="29" t="inlineStr">
        <is>
          <t>Petrol</t>
        </is>
      </c>
      <c r="I12" s="29" t="inlineStr">
        <is>
          <t>Diesal</t>
        </is>
      </c>
      <c r="J12" s="29" t="inlineStr">
        <is>
          <t>Power</t>
        </is>
      </c>
    </row>
    <row r="13">
      <c r="A13" s="58" t="inlineStr">
        <is>
          <t>CREDIT DETAIL</t>
        </is>
      </c>
      <c r="B13" s="59" t="n"/>
      <c r="C13" s="59" t="n"/>
      <c r="D13" s="59" t="n"/>
      <c r="E13" s="59" t="n"/>
      <c r="F13" s="57" t="n"/>
      <c r="H13" s="79" t="n">
        <v>70607</v>
      </c>
      <c r="I13" s="80" t="n">
        <v>55618</v>
      </c>
      <c r="J13" s="79" t="n">
        <v>14608</v>
      </c>
    </row>
    <row r="14">
      <c r="A14" s="29" t="inlineStr">
        <is>
          <t>particular</t>
        </is>
      </c>
      <c r="B14" s="29" t="inlineStr">
        <is>
          <t xml:space="preserve">Type </t>
        </is>
      </c>
      <c r="C14" s="31" t="inlineStr">
        <is>
          <t>QTY</t>
        </is>
      </c>
      <c r="D14" s="31" t="inlineStr">
        <is>
          <t>RATE</t>
        </is>
      </c>
      <c r="E14" s="31" t="inlineStr">
        <is>
          <t>AMOUNT</t>
        </is>
      </c>
      <c r="F14" s="32" t="inlineStr">
        <is>
          <t>inv no</t>
        </is>
      </c>
      <c r="H14" s="79" t="n">
        <v>102025</v>
      </c>
      <c r="I14" s="80" t="n">
        <v>76655</v>
      </c>
      <c r="J14" s="79" t="n"/>
      <c r="K14" s="74" t="n"/>
      <c r="L14" s="74" t="n"/>
      <c r="M14" s="74" t="n"/>
    </row>
    <row r="15">
      <c r="A15" s="33" t="inlineStr">
        <is>
          <t>sayar School</t>
        </is>
      </c>
      <c r="B15" s="34" t="inlineStr">
        <is>
          <t>diesal</t>
        </is>
      </c>
      <c r="C15" s="29">
        <f>+E15/D15</f>
        <v/>
      </c>
      <c r="D15" s="79">
        <f>+VLOOKUP(B15,A$4:C$6,3,0)</f>
        <v/>
      </c>
      <c r="E15" s="81" t="n">
        <v>12133.24</v>
      </c>
      <c r="F15" s="34" t="n">
        <v>21385</v>
      </c>
      <c r="H15" s="80" t="n"/>
      <c r="I15" s="80" t="n">
        <v>39714</v>
      </c>
      <c r="J15" s="80" t="n"/>
      <c r="K15" s="72" t="n"/>
    </row>
    <row r="16">
      <c r="A16" s="33" t="inlineStr">
        <is>
          <t>Sita Devi</t>
        </is>
      </c>
      <c r="B16" s="34" t="inlineStr">
        <is>
          <t>diesal</t>
        </is>
      </c>
      <c r="C16" s="29">
        <f>+E16/D16</f>
        <v/>
      </c>
      <c r="D16" s="79">
        <f>+VLOOKUP(B16,A$4:C$6,3,0)</f>
        <v/>
      </c>
      <c r="E16" s="81" t="n">
        <v>31000.16</v>
      </c>
      <c r="F16" s="34" t="n">
        <v>21386</v>
      </c>
      <c r="H16" s="79">
        <f>+H24/C4</f>
        <v/>
      </c>
      <c r="I16" s="43">
        <f>+I24/C5</f>
        <v/>
      </c>
      <c r="J16" s="43">
        <f>+J24/C6</f>
        <v/>
      </c>
      <c r="K16" s="72" t="n"/>
      <c r="M16" s="72" t="n"/>
    </row>
    <row r="17">
      <c r="A17" s="33" t="inlineStr">
        <is>
          <t>dinesh</t>
        </is>
      </c>
      <c r="B17" s="34" t="inlineStr">
        <is>
          <t>diesal</t>
        </is>
      </c>
      <c r="C17" s="29">
        <f>+E17/D17</f>
        <v/>
      </c>
      <c r="D17" s="79">
        <f>+VLOOKUP(B17,A$4:C$6,3,0)</f>
        <v/>
      </c>
      <c r="E17" s="82" t="n">
        <v>3549.76</v>
      </c>
      <c r="F17" s="34" t="n">
        <v>21387</v>
      </c>
      <c r="H17" s="72" t="n"/>
      <c r="K17" s="72" t="n"/>
    </row>
    <row r="18">
      <c r="A18" s="33" t="inlineStr">
        <is>
          <t>Shyam Tran.</t>
        </is>
      </c>
      <c r="B18" s="34" t="inlineStr">
        <is>
          <t>diesal</t>
        </is>
      </c>
      <c r="C18" s="29">
        <f>+E18/D18</f>
        <v/>
      </c>
      <c r="D18" s="79">
        <f>+VLOOKUP(B18,A$4:C$6,3,0)</f>
        <v/>
      </c>
      <c r="E18" s="82" t="n">
        <v>2950</v>
      </c>
      <c r="F18" s="34" t="n">
        <v>21388</v>
      </c>
    </row>
    <row r="19">
      <c r="A19" s="33" t="inlineStr">
        <is>
          <t>Shyam Tran.</t>
        </is>
      </c>
      <c r="B19" s="34" t="inlineStr">
        <is>
          <t>diesal</t>
        </is>
      </c>
      <c r="C19" s="29">
        <f>+E19/D19</f>
        <v/>
      </c>
      <c r="D19" s="79">
        <f>+VLOOKUP(B19,A$4:C$6,3,0)</f>
        <v/>
      </c>
      <c r="E19" s="82" t="n">
        <v>3885.34</v>
      </c>
      <c r="F19" s="39" t="n">
        <v>21389</v>
      </c>
      <c r="K19" s="72" t="n"/>
      <c r="M19" s="72" t="n"/>
    </row>
    <row r="20">
      <c r="A20" s="33" t="n"/>
      <c r="B20" s="34" t="inlineStr">
        <is>
          <t>diesal</t>
        </is>
      </c>
      <c r="C20" s="29">
        <f>+E20/D20</f>
        <v/>
      </c>
      <c r="D20" s="79">
        <f>+VLOOKUP(B20,A$4:C$6,3,0)</f>
        <v/>
      </c>
      <c r="E20" s="82" t="n"/>
      <c r="F20" s="79" t="n"/>
      <c r="K20" s="72" t="n"/>
    </row>
    <row r="21">
      <c r="A21" s="33" t="n"/>
      <c r="B21" s="34" t="inlineStr">
        <is>
          <t>diesal</t>
        </is>
      </c>
      <c r="C21" s="29">
        <f>+E21/D21</f>
        <v/>
      </c>
      <c r="D21" s="79">
        <f>+VLOOKUP(B21,A$4:C$6,3,0)</f>
        <v/>
      </c>
      <c r="E21" s="82" t="n"/>
      <c r="F21" s="35" t="n"/>
      <c r="H21" s="71" t="n"/>
      <c r="K21" s="72" t="n"/>
      <c r="M21" s="72" t="n"/>
    </row>
    <row r="22">
      <c r="A22" s="33" t="n"/>
      <c r="B22" s="34" t="inlineStr">
        <is>
          <t>diesal</t>
        </is>
      </c>
      <c r="C22" s="29">
        <f>+E22/D22</f>
        <v/>
      </c>
      <c r="D22" s="79">
        <f>+VLOOKUP(B22,A$4:C$6,3,0)</f>
        <v/>
      </c>
      <c r="E22" s="82" t="n"/>
      <c r="F22" s="79" t="n"/>
    </row>
    <row r="23">
      <c r="A23" s="34" t="n"/>
      <c r="B23" s="34" t="inlineStr">
        <is>
          <t>diesal</t>
        </is>
      </c>
      <c r="C23" s="29">
        <f>+E23/D23</f>
        <v/>
      </c>
      <c r="D23" s="79">
        <f>+VLOOKUP(B23,A$4:C$6,3,0)</f>
        <v/>
      </c>
      <c r="E23" s="82" t="n"/>
      <c r="F23" s="79" t="n"/>
    </row>
    <row r="24">
      <c r="A24" s="34" t="n"/>
      <c r="B24" s="34" t="inlineStr">
        <is>
          <t>diesal</t>
        </is>
      </c>
      <c r="C24" s="29">
        <f>+E24/D24</f>
        <v/>
      </c>
      <c r="D24" s="79">
        <f>+VLOOKUP(B24,A$4:C$6,3,0)</f>
        <v/>
      </c>
      <c r="E24" s="29" t="n"/>
      <c r="F24" s="79" t="n"/>
      <c r="H24" s="72" t="n"/>
      <c r="I24" s="72" t="n"/>
      <c r="J24" s="72" t="n"/>
    </row>
    <row r="25">
      <c r="A25" s="34" t="n"/>
      <c r="B25" s="34" t="inlineStr">
        <is>
          <t>diesal</t>
        </is>
      </c>
      <c r="C25" s="29">
        <f>+E25/D25</f>
        <v/>
      </c>
      <c r="D25" s="79">
        <f>+VLOOKUP(B25,A$4:C$6,3,0)</f>
        <v/>
      </c>
      <c r="E25" s="29" t="n"/>
      <c r="F25" s="79" t="n"/>
      <c r="H25" s="72" t="n"/>
    </row>
    <row r="26">
      <c r="A26" s="79" t="n"/>
      <c r="B26" s="79" t="n"/>
      <c r="C26" s="29">
        <f>SUM(C15:C25)</f>
        <v/>
      </c>
      <c r="D26" s="29" t="n"/>
      <c r="E26" s="29">
        <f>SUM(E15:E25)</f>
        <v/>
      </c>
      <c r="F26" s="79" t="n"/>
    </row>
    <row r="50">
      <c r="E50" t="n">
        <v>9</v>
      </c>
    </row>
  </sheetData>
  <mergeCells count="16">
    <mergeCell ref="O2:P2"/>
    <mergeCell ref="M2:N2"/>
    <mergeCell ref="S2:T2"/>
    <mergeCell ref="Q2:R2"/>
    <mergeCell ref="A13:F13"/>
    <mergeCell ref="G2:H2"/>
    <mergeCell ref="E2:F2"/>
    <mergeCell ref="K2:L2"/>
    <mergeCell ref="I2:J2"/>
    <mergeCell ref="U2:U3"/>
    <mergeCell ref="C2:C3"/>
    <mergeCell ref="A9:C9"/>
    <mergeCell ref="B2:B3"/>
    <mergeCell ref="A2:A3"/>
    <mergeCell ref="D2:D3"/>
    <mergeCell ref="A8:B8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X50"/>
  <sheetViews>
    <sheetView workbookViewId="0">
      <selection activeCell="A1" sqref="A1"/>
    </sheetView>
  </sheetViews>
  <sheetFormatPr baseColWidth="8" defaultColWidth="9.109375" defaultRowHeight="14.4"/>
  <cols>
    <col width="13.109375" customWidth="1" style="69" min="1" max="1"/>
    <col width="12" customWidth="1" style="69" min="2" max="2"/>
    <col width="12" customWidth="1" style="69" min="4" max="4"/>
    <col width="13.109375" customWidth="1" style="69" min="5" max="5"/>
    <col width="14" customWidth="1" style="69" min="6" max="6"/>
    <col width="10.109375" customWidth="1" style="69" min="7" max="7"/>
    <col width="10.6640625" customWidth="1" style="69" min="8" max="8"/>
    <col width="9.5546875" customWidth="1" style="69" min="9" max="9"/>
    <col width="10.6640625" customWidth="1" style="69" min="10" max="14"/>
    <col width="13.44140625" customWidth="1" style="69" min="15" max="15"/>
    <col width="11.88671875" customWidth="1" style="69" min="16" max="16"/>
    <col width="10.6640625" customWidth="1" style="69" min="18" max="18"/>
    <col width="9.5546875" customWidth="1" style="69" min="19" max="19"/>
    <col width="10.6640625" customWidth="1" style="69" min="20" max="20"/>
    <col width="9.6640625" customWidth="1" style="69" min="21" max="21"/>
    <col width="12.5546875" customWidth="1" style="69" min="23" max="23"/>
    <col width="12" customWidth="1" style="69" min="24" max="24"/>
  </cols>
  <sheetData>
    <row r="1" ht="18.6" customHeight="1" s="69"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</row>
    <row r="2" ht="18.6" customHeight="1" s="69">
      <c r="A2" s="47" t="inlineStr">
        <is>
          <t>Particular</t>
        </is>
      </c>
      <c r="B2" s="47" t="inlineStr">
        <is>
          <t>Qty</t>
        </is>
      </c>
      <c r="C2" s="47" t="inlineStr">
        <is>
          <t>Rate</t>
        </is>
      </c>
      <c r="D2" s="50" t="inlineStr">
        <is>
          <t>Amount</t>
        </is>
      </c>
      <c r="E2" s="56" t="inlineStr">
        <is>
          <t>Pos SBI</t>
        </is>
      </c>
      <c r="F2" s="57" t="n"/>
      <c r="G2" s="56" t="inlineStr">
        <is>
          <t>Paytm</t>
        </is>
      </c>
      <c r="H2" s="57" t="n"/>
      <c r="I2" s="56" t="inlineStr">
        <is>
          <t>HP Card</t>
        </is>
      </c>
      <c r="J2" s="57" t="n"/>
      <c r="K2" s="56" t="inlineStr">
        <is>
          <t>ICICI</t>
        </is>
      </c>
      <c r="L2" s="57" t="n"/>
      <c r="M2" s="56" t="inlineStr">
        <is>
          <t>phone pe</t>
        </is>
      </c>
      <c r="N2" s="57" t="n"/>
      <c r="O2" s="54" t="inlineStr">
        <is>
          <t>mobiquick</t>
        </is>
      </c>
      <c r="P2" s="55" t="n"/>
      <c r="Q2" s="56" t="inlineStr">
        <is>
          <t xml:space="preserve">CASH </t>
        </is>
      </c>
      <c r="R2" s="57" t="n"/>
      <c r="S2" s="56" t="inlineStr">
        <is>
          <t>Credit</t>
        </is>
      </c>
      <c r="T2" s="57" t="n"/>
      <c r="U2" s="45" t="inlineStr">
        <is>
          <t>Qty Diffrence</t>
        </is>
      </c>
      <c r="W2" s="2" t="n"/>
      <c r="X2" s="2" t="n"/>
    </row>
    <row r="3" ht="18.6" customHeight="1" s="69">
      <c r="A3" s="46" t="n"/>
      <c r="B3" s="46" t="n"/>
      <c r="C3" s="46" t="n"/>
      <c r="D3" s="51" t="n"/>
      <c r="E3" s="56" t="inlineStr">
        <is>
          <t>Qty</t>
        </is>
      </c>
      <c r="F3" s="41" t="inlineStr">
        <is>
          <t>Amount</t>
        </is>
      </c>
      <c r="G3" s="56" t="inlineStr">
        <is>
          <t>Qty</t>
        </is>
      </c>
      <c r="H3" s="41" t="inlineStr">
        <is>
          <t>Amount</t>
        </is>
      </c>
      <c r="I3" s="56" t="inlineStr">
        <is>
          <t>Qty</t>
        </is>
      </c>
      <c r="J3" s="41" t="inlineStr">
        <is>
          <t>Amount</t>
        </is>
      </c>
      <c r="K3" s="56" t="inlineStr">
        <is>
          <t>Qty</t>
        </is>
      </c>
      <c r="L3" s="41" t="inlineStr">
        <is>
          <t>Amount</t>
        </is>
      </c>
      <c r="M3" s="56" t="inlineStr">
        <is>
          <t>Qty</t>
        </is>
      </c>
      <c r="N3" s="41" t="inlineStr">
        <is>
          <t>Amount</t>
        </is>
      </c>
      <c r="O3" s="56" t="inlineStr">
        <is>
          <t>Qty</t>
        </is>
      </c>
      <c r="P3" s="41" t="inlineStr">
        <is>
          <t>Amount</t>
        </is>
      </c>
      <c r="Q3" s="56" t="inlineStr">
        <is>
          <t>Qty</t>
        </is>
      </c>
      <c r="R3" s="41" t="inlineStr">
        <is>
          <t>Amount</t>
        </is>
      </c>
      <c r="S3" s="56" t="inlineStr">
        <is>
          <t>Qty</t>
        </is>
      </c>
      <c r="T3" s="41" t="inlineStr">
        <is>
          <t>Amount</t>
        </is>
      </c>
      <c r="U3" s="46" t="n"/>
      <c r="W3" s="2" t="inlineStr">
        <is>
          <t>diesal</t>
        </is>
      </c>
      <c r="X3" s="2">
        <f>+SUMIFS(C15:C25,B15:B25,W3)</f>
        <v/>
      </c>
    </row>
    <row r="4" customFormat="1" s="2">
      <c r="A4" s="3" t="inlineStr">
        <is>
          <t>Petrol</t>
        </is>
      </c>
      <c r="B4" s="12">
        <f>+(H13+H14+H15)/$C$4</f>
        <v/>
      </c>
      <c r="C4" s="4" t="n">
        <v>104.71</v>
      </c>
      <c r="D4" s="5">
        <f>B4*C4</f>
        <v/>
      </c>
      <c r="E4" s="6" t="n">
        <v>0</v>
      </c>
      <c r="F4" s="7">
        <f>+E4*C4</f>
        <v/>
      </c>
      <c r="G4" s="9">
        <f>+(H8*60%)/$C$4</f>
        <v/>
      </c>
      <c r="H4" s="7">
        <f>+G4*C4</f>
        <v/>
      </c>
      <c r="I4" s="6">
        <f>J4/C4</f>
        <v/>
      </c>
      <c r="J4" s="7" t="n">
        <v>0</v>
      </c>
      <c r="K4" s="8">
        <f>+L8/$C$4</f>
        <v/>
      </c>
      <c r="L4" s="7">
        <f>+K4*C4</f>
        <v/>
      </c>
      <c r="M4" s="9">
        <f>+(N8*60%)/$C$4</f>
        <v/>
      </c>
      <c r="N4" s="7">
        <f>+M4*C4</f>
        <v/>
      </c>
      <c r="O4" s="9" t="n"/>
      <c r="P4" s="7">
        <f>+O4*C4</f>
        <v/>
      </c>
      <c r="Q4" s="6" t="n">
        <v>771.8929997134944</v>
      </c>
      <c r="R4" s="7">
        <f>+Q4*C4</f>
        <v/>
      </c>
      <c r="S4" s="10">
        <f>+X4</f>
        <v/>
      </c>
      <c r="T4" s="7">
        <f>+S4*C4</f>
        <v/>
      </c>
      <c r="U4" s="11">
        <f>+B4-E4-G4-Q4-S4-K4-I4-M4-O4</f>
        <v/>
      </c>
      <c r="W4" t="inlineStr">
        <is>
          <t>petrol</t>
        </is>
      </c>
      <c r="X4" s="2">
        <f>+SUMIFS(C15:C26,B15:B26,W4)</f>
        <v/>
      </c>
    </row>
    <row r="5" customFormat="1" s="2">
      <c r="A5" s="3" t="inlineStr">
        <is>
          <t>Diesal</t>
        </is>
      </c>
      <c r="B5" s="12">
        <f>+(I13+I14+I15)/$C$5</f>
        <v/>
      </c>
      <c r="C5" s="4" t="n">
        <v>90.20999999999999</v>
      </c>
      <c r="D5" s="5">
        <f>B5*C5</f>
        <v/>
      </c>
      <c r="E5" s="6" t="n">
        <v>0</v>
      </c>
      <c r="F5" s="7">
        <f>+E5*C5</f>
        <v/>
      </c>
      <c r="G5" s="6">
        <f>+(H8*40%)/$C$5</f>
        <v/>
      </c>
      <c r="H5" s="7">
        <f>+G5*C5</f>
        <v/>
      </c>
      <c r="I5" s="6">
        <f>+J8/C5</f>
        <v/>
      </c>
      <c r="J5" s="7">
        <f>+I5*C5</f>
        <v/>
      </c>
      <c r="K5" s="6" t="n">
        <v>0</v>
      </c>
      <c r="L5" s="7">
        <f>+K5*C5</f>
        <v/>
      </c>
      <c r="M5" s="6">
        <f>+(N8*40%)/$C$5</f>
        <v/>
      </c>
      <c r="N5" s="7">
        <f>+M5*C5</f>
        <v/>
      </c>
      <c r="O5" s="9">
        <f>+P8/C5</f>
        <v/>
      </c>
      <c r="P5" s="7">
        <f>+O5*C5</f>
        <v/>
      </c>
      <c r="Q5" s="6" t="n">
        <v>515.2924731182795</v>
      </c>
      <c r="R5" s="7">
        <f>+Q5*C5</f>
        <v/>
      </c>
      <c r="S5" s="10">
        <f>+X3</f>
        <v/>
      </c>
      <c r="T5" s="7">
        <f>+S5*C5</f>
        <v/>
      </c>
      <c r="U5" s="11">
        <f>+B5-E5-G5-Q5-S5-K5-I5-M5-O5</f>
        <v/>
      </c>
      <c r="W5" t="inlineStr">
        <is>
          <t>Petrol Power</t>
        </is>
      </c>
      <c r="X5" s="2">
        <f>+SUMIFS(C17:C27,B17:B27,W5)</f>
        <v/>
      </c>
    </row>
    <row r="6" customFormat="1" s="2">
      <c r="A6" s="3" t="inlineStr">
        <is>
          <t>Petrol Power</t>
        </is>
      </c>
      <c r="B6" s="12">
        <f>+(J13+J14+J15)/$C$6</f>
        <v/>
      </c>
      <c r="C6" s="4" t="n">
        <v>112.8</v>
      </c>
      <c r="D6" s="5">
        <f>B6*C6</f>
        <v/>
      </c>
      <c r="E6" s="6" t="n">
        <v>0</v>
      </c>
      <c r="F6" s="7">
        <f>+E6*C6</f>
        <v/>
      </c>
      <c r="G6" s="6" t="n"/>
      <c r="H6" s="7">
        <f>+G6*C6</f>
        <v/>
      </c>
      <c r="I6" s="6" t="n">
        <v>0</v>
      </c>
      <c r="J6" s="7">
        <f>+I6*C6</f>
        <v/>
      </c>
      <c r="K6" s="6" t="n">
        <v>0</v>
      </c>
      <c r="L6" s="7">
        <f>+K6*C6</f>
        <v/>
      </c>
      <c r="M6" s="9" t="n">
        <v>0</v>
      </c>
      <c r="N6" s="7">
        <f>+M6*C6</f>
        <v/>
      </c>
      <c r="O6" s="9" t="n"/>
      <c r="P6" s="7">
        <f>+O6*C6</f>
        <v/>
      </c>
      <c r="Q6" s="6" t="n">
        <v>72.27836879432624</v>
      </c>
      <c r="R6" s="7">
        <f>+Q6*C6</f>
        <v/>
      </c>
      <c r="S6" s="10">
        <f>+X5</f>
        <v/>
      </c>
      <c r="T6" s="7">
        <f>+S6*C6</f>
        <v/>
      </c>
      <c r="U6" s="11">
        <f>+B6-E6-G6-Q6-S6-K6-I6-M6-O6</f>
        <v/>
      </c>
    </row>
    <row r="7" customFormat="1" s="2">
      <c r="A7" s="3" t="n"/>
      <c r="B7" s="38">
        <f>SUM(B4:B6)</f>
        <v/>
      </c>
      <c r="C7" s="3" t="n"/>
      <c r="D7" s="13">
        <f>SUM(D4:D6)</f>
        <v/>
      </c>
      <c r="E7" s="14">
        <f>SUM(E4:E6)</f>
        <v/>
      </c>
      <c r="F7" s="15">
        <f>SUM(F4:F6)</f>
        <v/>
      </c>
      <c r="G7" s="14">
        <f>SUM(G4:G6)</f>
        <v/>
      </c>
      <c r="H7" s="15">
        <f>SUM(H4:H6)</f>
        <v/>
      </c>
      <c r="I7" s="14">
        <f>SUM(I4:I6)</f>
        <v/>
      </c>
      <c r="J7" s="15">
        <f>SUM(J4:J6)</f>
        <v/>
      </c>
      <c r="K7" s="14">
        <f>SUM(K4:K6)</f>
        <v/>
      </c>
      <c r="L7" s="15">
        <f>SUM(L4:L6)</f>
        <v/>
      </c>
      <c r="M7" s="14">
        <f>SUM(M4:M6)</f>
        <v/>
      </c>
      <c r="N7" s="15">
        <f>SUM(N4:N6)</f>
        <v/>
      </c>
      <c r="O7" s="14">
        <f>SUM(O4:O6)</f>
        <v/>
      </c>
      <c r="P7" s="15">
        <f>SUM(P4:P6)</f>
        <v/>
      </c>
      <c r="Q7" s="14">
        <f>SUM(Q4:Q6)</f>
        <v/>
      </c>
      <c r="R7" s="15">
        <f>SUM(R4:R6)</f>
        <v/>
      </c>
      <c r="S7" s="14">
        <f>SUM(S4:S6)</f>
        <v/>
      </c>
      <c r="T7" s="15">
        <f>SUM(T4:T6)</f>
        <v/>
      </c>
      <c r="U7" s="11">
        <f>+B7-E7-G7-Q7-S7-K7-I7-M7-O7</f>
        <v/>
      </c>
    </row>
    <row r="8" ht="15" customFormat="1" customHeight="1" s="2" thickBot="1">
      <c r="A8" s="52" t="inlineStr">
        <is>
          <t>Actual Amount</t>
        </is>
      </c>
      <c r="B8" s="53" t="n"/>
      <c r="C8" s="16" t="n"/>
      <c r="D8" s="17" t="n"/>
      <c r="E8" s="18" t="n"/>
      <c r="F8" s="19" t="n">
        <v>0</v>
      </c>
      <c r="G8" s="18" t="n"/>
      <c r="H8" s="19" t="n">
        <v>87264.88</v>
      </c>
      <c r="I8" s="18" t="n"/>
      <c r="J8" s="19" t="n">
        <v>0</v>
      </c>
      <c r="K8" s="18" t="n"/>
      <c r="L8" s="19" t="n">
        <v>6495.81</v>
      </c>
      <c r="M8" s="20" t="n"/>
      <c r="N8" s="19" t="n">
        <v>68378.91</v>
      </c>
      <c r="O8" s="20" t="inlineStr"/>
      <c r="P8" s="19" t="n">
        <v>0</v>
      </c>
      <c r="Q8" s="18" t="n">
        <v>0</v>
      </c>
      <c r="R8" s="19" t="n">
        <v>134661</v>
      </c>
      <c r="S8" s="18" t="n"/>
      <c r="T8" s="19" t="n">
        <v>62363.95</v>
      </c>
      <c r="U8" s="17" t="n"/>
    </row>
    <row r="9" ht="15.6" customHeight="1" s="69" thickBot="1" thickTop="1">
      <c r="A9" s="48" t="inlineStr">
        <is>
          <t>Diffrence should be zero</t>
        </is>
      </c>
      <c r="B9" s="49" t="n"/>
      <c r="C9" s="49" t="n"/>
      <c r="D9" s="21" t="n"/>
      <c r="E9" s="21" t="n"/>
      <c r="F9" s="22">
        <f>+F7-F8</f>
        <v/>
      </c>
      <c r="G9" s="21" t="n"/>
      <c r="H9" s="22">
        <f>+H7-H8</f>
        <v/>
      </c>
      <c r="I9" s="21" t="n"/>
      <c r="J9" s="22">
        <f>+J7-J8</f>
        <v/>
      </c>
      <c r="K9" s="21" t="n"/>
      <c r="L9" s="22">
        <f>+L7-L8</f>
        <v/>
      </c>
      <c r="M9" s="22" t="n"/>
      <c r="N9" s="22">
        <f>+N7-N8</f>
        <v/>
      </c>
      <c r="O9" s="22" t="n"/>
      <c r="P9" s="22">
        <f>+P7-P8</f>
        <v/>
      </c>
      <c r="Q9" s="21" t="n"/>
      <c r="R9" s="22">
        <f>+R7-R8</f>
        <v/>
      </c>
      <c r="S9" s="21" t="n"/>
      <c r="T9" s="22">
        <f>+T7-T8</f>
        <v/>
      </c>
      <c r="U9" s="23" t="n"/>
    </row>
    <row r="10" ht="15" customHeight="1" s="69" thickTop="1">
      <c r="A10" s="24" t="n"/>
      <c r="B10" s="24" t="n">
        <v>0</v>
      </c>
      <c r="C10" s="24" t="n"/>
      <c r="D10" s="2" t="n"/>
      <c r="E10" s="2" t="n"/>
      <c r="F10" s="25" t="n"/>
      <c r="G10" s="2" t="n"/>
      <c r="H10" s="25" t="n"/>
      <c r="I10" s="2" t="n"/>
      <c r="J10" s="25" t="n"/>
      <c r="K10" s="2" t="n"/>
      <c r="L10" s="6" t="n"/>
      <c r="M10" s="2" t="n"/>
      <c r="N10" s="25" t="n"/>
      <c r="O10" s="25" t="n"/>
      <c r="P10" s="25" t="n"/>
      <c r="Q10" s="25" t="n"/>
      <c r="R10" s="25" t="n"/>
      <c r="S10" s="2" t="n"/>
      <c r="T10" s="25" t="n"/>
      <c r="U10" s="2" t="n"/>
    </row>
    <row r="11">
      <c r="A11" s="26" t="inlineStr">
        <is>
          <t>sales value diff</t>
        </is>
      </c>
      <c r="D11" s="27">
        <f>+D7-F8-H8-L8-J8-R8-T8-N8-P8</f>
        <v/>
      </c>
      <c r="F11" s="72" t="n"/>
      <c r="M11" s="72" t="n"/>
    </row>
    <row r="12">
      <c r="F12" s="72" t="n"/>
      <c r="G12" s="72" t="n"/>
      <c r="H12" s="29" t="inlineStr">
        <is>
          <t>Petrol</t>
        </is>
      </c>
      <c r="I12" s="29" t="inlineStr">
        <is>
          <t>Diesal</t>
        </is>
      </c>
      <c r="J12" s="29" t="inlineStr">
        <is>
          <t>Power</t>
        </is>
      </c>
    </row>
    <row r="13">
      <c r="A13" s="58" t="inlineStr">
        <is>
          <t>CREDIT DETAIL</t>
        </is>
      </c>
      <c r="B13" s="59" t="n"/>
      <c r="C13" s="59" t="n"/>
      <c r="D13" s="59" t="n"/>
      <c r="E13" s="59" t="n"/>
      <c r="F13" s="57" t="n"/>
      <c r="H13" s="79" t="n">
        <v>80523</v>
      </c>
      <c r="I13" s="80" t="n">
        <v>49310</v>
      </c>
      <c r="J13" s="79" t="n">
        <v>8153</v>
      </c>
    </row>
    <row r="14">
      <c r="A14" s="29" t="inlineStr">
        <is>
          <t>particular</t>
        </is>
      </c>
      <c r="B14" s="29" t="inlineStr">
        <is>
          <t xml:space="preserve">Type </t>
        </is>
      </c>
      <c r="C14" s="31" t="inlineStr">
        <is>
          <t>QTY</t>
        </is>
      </c>
      <c r="D14" s="31" t="inlineStr">
        <is>
          <t>RATE</t>
        </is>
      </c>
      <c r="E14" s="31" t="inlineStr">
        <is>
          <t>AMOUNT</t>
        </is>
      </c>
      <c r="F14" s="32" t="inlineStr">
        <is>
          <t>inv no</t>
        </is>
      </c>
      <c r="H14" s="79" t="n">
        <v>100184</v>
      </c>
      <c r="I14" s="80" t="n">
        <v>58789</v>
      </c>
      <c r="J14" s="79" t="n"/>
      <c r="K14" s="74" t="n"/>
      <c r="L14" s="74" t="n"/>
      <c r="M14" s="74" t="n"/>
    </row>
    <row r="15">
      <c r="A15" s="33" t="inlineStr">
        <is>
          <t>Shyam Tran.</t>
        </is>
      </c>
      <c r="B15" s="34" t="inlineStr">
        <is>
          <t>diesal</t>
        </is>
      </c>
      <c r="C15" s="29">
        <f>+E15/D15</f>
        <v/>
      </c>
      <c r="D15" s="79">
        <f>+VLOOKUP(B15,A$4:C$6,3,0)</f>
        <v/>
      </c>
      <c r="E15" s="81" t="n">
        <v>1811.41</v>
      </c>
      <c r="F15" s="34" t="n">
        <v>21390</v>
      </c>
      <c r="H15" s="80" t="n"/>
      <c r="I15" s="80" t="n">
        <v>63007</v>
      </c>
      <c r="J15" s="80" t="n"/>
      <c r="K15" s="72" t="n"/>
    </row>
    <row r="16">
      <c r="A16" s="33" t="inlineStr">
        <is>
          <t>Shyam Tran.</t>
        </is>
      </c>
      <c r="B16" s="34" t="inlineStr">
        <is>
          <t>diesal</t>
        </is>
      </c>
      <c r="C16" s="29">
        <f>+E16/D16</f>
        <v/>
      </c>
      <c r="D16" s="79">
        <f>+VLOOKUP(B16,A$4:C$6,3,0)</f>
        <v/>
      </c>
      <c r="E16" s="81" t="n">
        <v>3409.93</v>
      </c>
      <c r="F16" s="34" t="n">
        <v>21393</v>
      </c>
      <c r="H16" s="79">
        <f>+H24/C4</f>
        <v/>
      </c>
      <c r="I16" s="43">
        <f>+I24/C5</f>
        <v/>
      </c>
      <c r="J16" s="43">
        <f>+J24/C6</f>
        <v/>
      </c>
      <c r="K16" s="72" t="n"/>
      <c r="M16" s="72" t="n"/>
    </row>
    <row r="17">
      <c r="A17" s="33" t="inlineStr">
        <is>
          <t>mool Chand yadav</t>
        </is>
      </c>
      <c r="B17" s="34" t="inlineStr">
        <is>
          <t>diesal</t>
        </is>
      </c>
      <c r="C17" s="29">
        <f>+E17/D17</f>
        <v/>
      </c>
      <c r="D17" s="79">
        <f>+VLOOKUP(B17,A$4:C$6,3,0)</f>
        <v/>
      </c>
      <c r="E17" s="82" t="n">
        <v>17682.96</v>
      </c>
      <c r="F17" s="34" t="n">
        <v>21391</v>
      </c>
      <c r="H17" s="72" t="n"/>
      <c r="K17" s="72" t="n"/>
    </row>
    <row r="18">
      <c r="A18" s="33" t="inlineStr">
        <is>
          <t>Sita Devi</t>
        </is>
      </c>
      <c r="B18" s="34" t="inlineStr">
        <is>
          <t>diesal</t>
        </is>
      </c>
      <c r="C18" s="29">
        <f>+E18/D18</f>
        <v/>
      </c>
      <c r="D18" s="79">
        <f>+VLOOKUP(B18,A$4:C$6,3,0)</f>
        <v/>
      </c>
      <c r="E18" s="82" t="n">
        <v>31459.83</v>
      </c>
      <c r="F18" s="34" t="n">
        <v>21392</v>
      </c>
    </row>
    <row r="19">
      <c r="A19" s="33" t="inlineStr">
        <is>
          <t>monu</t>
        </is>
      </c>
      <c r="B19" s="34" t="inlineStr">
        <is>
          <t>diesal</t>
        </is>
      </c>
      <c r="C19" s="29">
        <f>+E19/D19</f>
        <v/>
      </c>
      <c r="D19" s="79">
        <f>+VLOOKUP(B19,A$4:C$6,3,0)</f>
        <v/>
      </c>
      <c r="E19" s="82" t="n">
        <v>7999.82</v>
      </c>
      <c r="F19" s="39" t="n">
        <v>21394</v>
      </c>
      <c r="K19" s="72" t="n"/>
      <c r="M19" s="72" t="n"/>
    </row>
    <row r="20">
      <c r="A20" s="33" t="n"/>
      <c r="B20" s="34" t="inlineStr">
        <is>
          <t>diesal</t>
        </is>
      </c>
      <c r="C20" s="29">
        <f>+E20/D20</f>
        <v/>
      </c>
      <c r="D20" s="79">
        <f>+VLOOKUP(B20,A$4:C$6,3,0)</f>
        <v/>
      </c>
      <c r="E20" s="82" t="n"/>
      <c r="F20" s="79" t="n"/>
      <c r="K20" s="72" t="n"/>
    </row>
    <row r="21">
      <c r="A21" s="33" t="n"/>
      <c r="B21" s="34" t="inlineStr">
        <is>
          <t>diesal</t>
        </is>
      </c>
      <c r="C21" s="29">
        <f>+E21/D21</f>
        <v/>
      </c>
      <c r="D21" s="79">
        <f>+VLOOKUP(B21,A$4:C$6,3,0)</f>
        <v/>
      </c>
      <c r="E21" s="82" t="n"/>
      <c r="F21" s="35" t="n"/>
      <c r="H21" s="71" t="n"/>
      <c r="K21" s="72" t="n"/>
      <c r="M21" s="72" t="n"/>
    </row>
    <row r="22">
      <c r="A22" s="33" t="n"/>
      <c r="B22" s="34" t="inlineStr">
        <is>
          <t>diesal</t>
        </is>
      </c>
      <c r="C22" s="29">
        <f>+E22/D22</f>
        <v/>
      </c>
      <c r="D22" s="79">
        <f>+VLOOKUP(B22,A$4:C$6,3,0)</f>
        <v/>
      </c>
      <c r="E22" s="82" t="n"/>
      <c r="F22" s="79" t="n"/>
    </row>
    <row r="23">
      <c r="A23" s="34" t="n"/>
      <c r="B23" s="34" t="inlineStr">
        <is>
          <t>diesal</t>
        </is>
      </c>
      <c r="C23" s="29">
        <f>+E23/D23</f>
        <v/>
      </c>
      <c r="D23" s="79">
        <f>+VLOOKUP(B23,A$4:C$6,3,0)</f>
        <v/>
      </c>
      <c r="E23" s="82" t="n"/>
      <c r="F23" s="79" t="n"/>
    </row>
    <row r="24">
      <c r="A24" s="34" t="n"/>
      <c r="B24" s="34" t="inlineStr">
        <is>
          <t>diesal</t>
        </is>
      </c>
      <c r="C24" s="29">
        <f>+E24/D24</f>
        <v/>
      </c>
      <c r="D24" s="79">
        <f>+VLOOKUP(B24,A$4:C$6,3,0)</f>
        <v/>
      </c>
      <c r="E24" s="29" t="n"/>
      <c r="F24" s="79" t="n"/>
      <c r="H24" s="72" t="n"/>
      <c r="I24" s="72" t="n"/>
      <c r="J24" s="72" t="n"/>
    </row>
    <row r="25">
      <c r="A25" s="34" t="n"/>
      <c r="B25" s="34" t="inlineStr">
        <is>
          <t>diesal</t>
        </is>
      </c>
      <c r="C25" s="29">
        <f>+E25/D25</f>
        <v/>
      </c>
      <c r="D25" s="79">
        <f>+VLOOKUP(B25,A$4:C$6,3,0)</f>
        <v/>
      </c>
      <c r="E25" s="29" t="n"/>
      <c r="F25" s="79" t="n"/>
      <c r="H25" s="72" t="n"/>
    </row>
    <row r="26">
      <c r="A26" s="79" t="n"/>
      <c r="B26" s="79" t="n"/>
      <c r="C26" s="29">
        <f>SUM(C15:C25)</f>
        <v/>
      </c>
      <c r="D26" s="29" t="n"/>
      <c r="E26" s="29">
        <f>SUM(E15:E25)</f>
        <v/>
      </c>
      <c r="F26" s="79" t="n"/>
    </row>
    <row r="50">
      <c r="E50" t="n">
        <v>9</v>
      </c>
    </row>
  </sheetData>
  <mergeCells count="16">
    <mergeCell ref="O2:P2"/>
    <mergeCell ref="M2:N2"/>
    <mergeCell ref="S2:T2"/>
    <mergeCell ref="Q2:R2"/>
    <mergeCell ref="A13:F13"/>
    <mergeCell ref="G2:H2"/>
    <mergeCell ref="E2:F2"/>
    <mergeCell ref="K2:L2"/>
    <mergeCell ref="I2:J2"/>
    <mergeCell ref="U2:U3"/>
    <mergeCell ref="C2:C3"/>
    <mergeCell ref="A9:C9"/>
    <mergeCell ref="B2:B3"/>
    <mergeCell ref="A2:A3"/>
    <mergeCell ref="D2:D3"/>
    <mergeCell ref="A8:B8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X50"/>
  <sheetViews>
    <sheetView workbookViewId="0">
      <selection activeCell="A1" sqref="A1"/>
    </sheetView>
  </sheetViews>
  <sheetFormatPr baseColWidth="8" defaultColWidth="9.109375" defaultRowHeight="14.4"/>
  <cols>
    <col width="13.109375" customWidth="1" style="69" min="1" max="1"/>
    <col width="12" customWidth="1" style="69" min="2" max="2"/>
    <col width="12" customWidth="1" style="69" min="4" max="4"/>
    <col width="13.109375" customWidth="1" style="69" min="5" max="5"/>
    <col width="14" customWidth="1" style="69" min="6" max="6"/>
    <col width="10.109375" customWidth="1" style="69" min="7" max="7"/>
    <col width="10.6640625" customWidth="1" style="69" min="8" max="8"/>
    <col width="9.5546875" customWidth="1" style="69" min="9" max="9"/>
    <col width="10.6640625" customWidth="1" style="69" min="10" max="14"/>
    <col width="13.44140625" customWidth="1" style="69" min="15" max="15"/>
    <col width="11.88671875" customWidth="1" style="69" min="16" max="16"/>
    <col width="10.6640625" customWidth="1" style="69" min="18" max="18"/>
    <col width="9.5546875" customWidth="1" style="69" min="19" max="19"/>
    <col width="10.6640625" customWidth="1" style="69" min="20" max="20"/>
    <col width="9.6640625" customWidth="1" style="69" min="21" max="21"/>
    <col width="12.5546875" customWidth="1" style="69" min="23" max="23"/>
    <col width="12" customWidth="1" style="69" min="24" max="24"/>
  </cols>
  <sheetData>
    <row r="1" ht="18.6" customHeight="1" s="69"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</row>
    <row r="2" ht="18.6" customHeight="1" s="69">
      <c r="A2" s="47" t="inlineStr">
        <is>
          <t>Particular</t>
        </is>
      </c>
      <c r="B2" s="47" t="inlineStr">
        <is>
          <t>Qty</t>
        </is>
      </c>
      <c r="C2" s="47" t="inlineStr">
        <is>
          <t>Rate</t>
        </is>
      </c>
      <c r="D2" s="50" t="inlineStr">
        <is>
          <t>Amount</t>
        </is>
      </c>
      <c r="E2" s="56" t="inlineStr">
        <is>
          <t>Pos SBI</t>
        </is>
      </c>
      <c r="F2" s="57" t="n"/>
      <c r="G2" s="56" t="inlineStr">
        <is>
          <t>Paytm</t>
        </is>
      </c>
      <c r="H2" s="57" t="n"/>
      <c r="I2" s="56" t="inlineStr">
        <is>
          <t>HP Card</t>
        </is>
      </c>
      <c r="J2" s="57" t="n"/>
      <c r="K2" s="56" t="inlineStr">
        <is>
          <t>ICICI</t>
        </is>
      </c>
      <c r="L2" s="57" t="n"/>
      <c r="M2" s="56" t="inlineStr">
        <is>
          <t>phone pe</t>
        </is>
      </c>
      <c r="N2" s="57" t="n"/>
      <c r="O2" s="54" t="inlineStr">
        <is>
          <t>mobiquick</t>
        </is>
      </c>
      <c r="P2" s="55" t="n"/>
      <c r="Q2" s="56" t="inlineStr">
        <is>
          <t xml:space="preserve">CASH </t>
        </is>
      </c>
      <c r="R2" s="57" t="n"/>
      <c r="S2" s="56" t="inlineStr">
        <is>
          <t>Credit</t>
        </is>
      </c>
      <c r="T2" s="57" t="n"/>
      <c r="U2" s="45" t="inlineStr">
        <is>
          <t>Qty Diffrence</t>
        </is>
      </c>
      <c r="W2" s="2" t="n"/>
      <c r="X2" s="2" t="n"/>
    </row>
    <row r="3" ht="18.6" customHeight="1" s="69">
      <c r="A3" s="46" t="n"/>
      <c r="B3" s="46" t="n"/>
      <c r="C3" s="46" t="n"/>
      <c r="D3" s="51" t="n"/>
      <c r="E3" s="56" t="inlineStr">
        <is>
          <t>Qty</t>
        </is>
      </c>
      <c r="F3" s="41" t="inlineStr">
        <is>
          <t>Amount</t>
        </is>
      </c>
      <c r="G3" s="56" t="inlineStr">
        <is>
          <t>Qty</t>
        </is>
      </c>
      <c r="H3" s="41" t="inlineStr">
        <is>
          <t>Amount</t>
        </is>
      </c>
      <c r="I3" s="56" t="inlineStr">
        <is>
          <t>Qty</t>
        </is>
      </c>
      <c r="J3" s="41" t="inlineStr">
        <is>
          <t>Amount</t>
        </is>
      </c>
      <c r="K3" s="56" t="inlineStr">
        <is>
          <t>Qty</t>
        </is>
      </c>
      <c r="L3" s="41" t="inlineStr">
        <is>
          <t>Amount</t>
        </is>
      </c>
      <c r="M3" s="56" t="inlineStr">
        <is>
          <t>Qty</t>
        </is>
      </c>
      <c r="N3" s="41" t="inlineStr">
        <is>
          <t>Amount</t>
        </is>
      </c>
      <c r="O3" s="56" t="inlineStr">
        <is>
          <t>Qty</t>
        </is>
      </c>
      <c r="P3" s="41" t="inlineStr">
        <is>
          <t>Amount</t>
        </is>
      </c>
      <c r="Q3" s="56" t="inlineStr">
        <is>
          <t>Qty</t>
        </is>
      </c>
      <c r="R3" s="41" t="inlineStr">
        <is>
          <t>Amount</t>
        </is>
      </c>
      <c r="S3" s="56" t="inlineStr">
        <is>
          <t>Qty</t>
        </is>
      </c>
      <c r="T3" s="41" t="inlineStr">
        <is>
          <t>Amount</t>
        </is>
      </c>
      <c r="U3" s="46" t="n"/>
      <c r="W3" s="2" t="inlineStr">
        <is>
          <t>diesal</t>
        </is>
      </c>
      <c r="X3" s="2">
        <f>+SUMIFS(C15:C25,B15:B25,W3)</f>
        <v/>
      </c>
    </row>
    <row r="4" customFormat="1" s="2">
      <c r="A4" s="3" t="inlineStr">
        <is>
          <t>Petrol</t>
        </is>
      </c>
      <c r="B4" s="12">
        <f>+(H13+H14+H15)/$C$4</f>
        <v/>
      </c>
      <c r="C4" s="4" t="n">
        <v>104.71</v>
      </c>
      <c r="D4" s="5">
        <f>B4*C4</f>
        <v/>
      </c>
      <c r="E4" s="6" t="n">
        <v>0</v>
      </c>
      <c r="F4" s="7">
        <f>+E4*C4</f>
        <v/>
      </c>
      <c r="G4" s="9">
        <f>+(H8*60%)/$C$4</f>
        <v/>
      </c>
      <c r="H4" s="7">
        <f>+G4*C4</f>
        <v/>
      </c>
      <c r="I4" s="6">
        <f>J4/C4</f>
        <v/>
      </c>
      <c r="J4" s="7" t="n">
        <v>0</v>
      </c>
      <c r="K4" s="8">
        <f>+L8/$C$4</f>
        <v/>
      </c>
      <c r="L4" s="7">
        <f>+K4*C4</f>
        <v/>
      </c>
      <c r="M4" s="9">
        <f>+(N8*60%)/$C$4</f>
        <v/>
      </c>
      <c r="N4" s="7">
        <f>+M4*C4</f>
        <v/>
      </c>
      <c r="O4" s="9" t="n"/>
      <c r="P4" s="7">
        <f>+O4*C4</f>
        <v/>
      </c>
      <c r="Q4" s="6" t="n">
        <v>924.0674434151467</v>
      </c>
      <c r="R4" s="7">
        <f>+Q4*C4</f>
        <v/>
      </c>
      <c r="S4" s="10">
        <f>+X4</f>
        <v/>
      </c>
      <c r="T4" s="7">
        <f>+S4*C4</f>
        <v/>
      </c>
      <c r="U4" s="11">
        <f>+B4-E4-G4-Q4-S4-K4-I4-M4-O4</f>
        <v/>
      </c>
      <c r="W4" t="inlineStr">
        <is>
          <t>petrol</t>
        </is>
      </c>
      <c r="X4" s="2">
        <f>+SUMIFS(C15:C26,B15:B26,W4)</f>
        <v/>
      </c>
    </row>
    <row r="5" customFormat="1" s="2">
      <c r="A5" s="3" t="inlineStr">
        <is>
          <t>Diesal</t>
        </is>
      </c>
      <c r="B5" s="12">
        <f>+(I13+I14+I15)/$C$5</f>
        <v/>
      </c>
      <c r="C5" s="4" t="n">
        <v>90.20999999999999</v>
      </c>
      <c r="D5" s="5">
        <f>B5*C5</f>
        <v/>
      </c>
      <c r="E5" s="6" t="n">
        <v>0</v>
      </c>
      <c r="F5" s="7">
        <f>+E5*C5</f>
        <v/>
      </c>
      <c r="G5" s="6">
        <f>+(H8*40%)/$C$5</f>
        <v/>
      </c>
      <c r="H5" s="7">
        <f>+G5*C5</f>
        <v/>
      </c>
      <c r="I5" s="6">
        <f>+J8/C5</f>
        <v/>
      </c>
      <c r="J5" s="7">
        <f>+I5*C5</f>
        <v/>
      </c>
      <c r="K5" s="6" t="n">
        <v>0</v>
      </c>
      <c r="L5" s="7">
        <f>+K5*C5</f>
        <v/>
      </c>
      <c r="M5" s="6">
        <f>+(N8*40%)/$C$5</f>
        <v/>
      </c>
      <c r="N5" s="7">
        <f>+M5*C5</f>
        <v/>
      </c>
      <c r="O5" s="9">
        <f>+P8/C5</f>
        <v/>
      </c>
      <c r="P5" s="7">
        <f>+O5*C5</f>
        <v/>
      </c>
      <c r="Q5" s="6" t="n">
        <v>742.1831060857997</v>
      </c>
      <c r="R5" s="7">
        <f>+Q5*C5</f>
        <v/>
      </c>
      <c r="S5" s="10">
        <f>+X3</f>
        <v/>
      </c>
      <c r="T5" s="7">
        <f>+S5*C5</f>
        <v/>
      </c>
      <c r="U5" s="11">
        <f>+B5-E5-G5-Q5-S5-K5-I5-M5-O5</f>
        <v/>
      </c>
      <c r="W5" t="inlineStr">
        <is>
          <t>Petrol Power</t>
        </is>
      </c>
      <c r="X5" s="2">
        <f>+SUMIFS(C17:C27,B17:B27,W5)</f>
        <v/>
      </c>
    </row>
    <row r="6" customFormat="1" s="2">
      <c r="A6" s="3" t="inlineStr">
        <is>
          <t>Petrol Power</t>
        </is>
      </c>
      <c r="B6" s="12">
        <f>+(J13+J14+J15)/$C$6</f>
        <v/>
      </c>
      <c r="C6" s="4" t="n">
        <v>112.8</v>
      </c>
      <c r="D6" s="5">
        <f>B6*C6</f>
        <v/>
      </c>
      <c r="E6" s="6" t="n">
        <v>0</v>
      </c>
      <c r="F6" s="7">
        <f>+E6*C6</f>
        <v/>
      </c>
      <c r="G6" s="6" t="n"/>
      <c r="H6" s="7">
        <f>+G6*C6</f>
        <v/>
      </c>
      <c r="I6" s="6" t="n">
        <v>0</v>
      </c>
      <c r="J6" s="7">
        <f>+I6*C6</f>
        <v/>
      </c>
      <c r="K6" s="6" t="n">
        <v>0</v>
      </c>
      <c r="L6" s="7">
        <f>+K6*C6</f>
        <v/>
      </c>
      <c r="M6" s="9" t="n">
        <v>0</v>
      </c>
      <c r="N6" s="7">
        <f>+M6*C6</f>
        <v/>
      </c>
      <c r="O6" s="9" t="n"/>
      <c r="P6" s="7">
        <f>+O6*C6</f>
        <v/>
      </c>
      <c r="Q6" s="6" t="n">
        <v>44.74290780141844</v>
      </c>
      <c r="R6" s="7">
        <f>+Q6*C6</f>
        <v/>
      </c>
      <c r="S6" s="10">
        <f>+X5</f>
        <v/>
      </c>
      <c r="T6" s="7">
        <f>+S6*C6</f>
        <v/>
      </c>
      <c r="U6" s="11">
        <f>+B6-E6-G6-Q6-S6-K6-I6-M6-O6</f>
        <v/>
      </c>
    </row>
    <row r="7" customFormat="1" s="2">
      <c r="A7" s="3" t="n"/>
      <c r="B7" s="38">
        <f>SUM(B4:B6)</f>
        <v/>
      </c>
      <c r="C7" s="3" t="n"/>
      <c r="D7" s="13">
        <f>SUM(D4:D6)</f>
        <v/>
      </c>
      <c r="E7" s="14">
        <f>SUM(E4:E6)</f>
        <v/>
      </c>
      <c r="F7" s="15">
        <f>SUM(F4:F6)</f>
        <v/>
      </c>
      <c r="G7" s="14">
        <f>SUM(G4:G6)</f>
        <v/>
      </c>
      <c r="H7" s="15">
        <f>SUM(H4:H6)</f>
        <v/>
      </c>
      <c r="I7" s="14">
        <f>SUM(I4:I6)</f>
        <v/>
      </c>
      <c r="J7" s="15">
        <f>SUM(J4:J6)</f>
        <v/>
      </c>
      <c r="K7" s="14">
        <f>SUM(K4:K6)</f>
        <v/>
      </c>
      <c r="L7" s="15">
        <f>SUM(L4:L6)</f>
        <v/>
      </c>
      <c r="M7" s="14">
        <f>SUM(M4:M6)</f>
        <v/>
      </c>
      <c r="N7" s="15">
        <f>SUM(N4:N6)</f>
        <v/>
      </c>
      <c r="O7" s="14">
        <f>SUM(O4:O6)</f>
        <v/>
      </c>
      <c r="P7" s="15">
        <f>SUM(P4:P6)</f>
        <v/>
      </c>
      <c r="Q7" s="14">
        <f>SUM(Q4:Q6)</f>
        <v/>
      </c>
      <c r="R7" s="15">
        <f>SUM(R4:R6)</f>
        <v/>
      </c>
      <c r="S7" s="14">
        <f>SUM(S4:S6)</f>
        <v/>
      </c>
      <c r="T7" s="15">
        <f>SUM(T4:T6)</f>
        <v/>
      </c>
      <c r="U7" s="11">
        <f>+B7-E7-G7-Q7-S7-K7-I7-M7-O7</f>
        <v/>
      </c>
    </row>
    <row r="8" ht="15" customFormat="1" customHeight="1" s="2" thickBot="1">
      <c r="A8" s="52" t="inlineStr">
        <is>
          <t>Actual Amount</t>
        </is>
      </c>
      <c r="B8" s="53" t="n"/>
      <c r="C8" s="16" t="n"/>
      <c r="D8" s="17" t="n"/>
      <c r="E8" s="18" t="n"/>
      <c r="F8" s="19" t="n">
        <v>0</v>
      </c>
      <c r="G8" s="18" t="n"/>
      <c r="H8" s="19" t="n">
        <v>73594.42</v>
      </c>
      <c r="I8" s="18" t="n"/>
      <c r="J8" s="19" t="n">
        <v>510</v>
      </c>
      <c r="K8" s="18" t="n"/>
      <c r="L8" s="19" t="n">
        <v>15440.77</v>
      </c>
      <c r="M8" s="20" t="n"/>
      <c r="N8" s="19" t="n">
        <v>105647.46</v>
      </c>
      <c r="O8" s="20" t="inlineStr"/>
      <c r="P8" s="19" t="n">
        <v>0</v>
      </c>
      <c r="Q8" s="18" t="n">
        <v>0</v>
      </c>
      <c r="R8" s="19" t="n">
        <v>157854</v>
      </c>
      <c r="S8" s="18" t="n"/>
      <c r="T8" s="19" t="n">
        <v>66670.91</v>
      </c>
      <c r="U8" s="17" t="n"/>
    </row>
    <row r="9" ht="15.6" customHeight="1" s="69" thickBot="1" thickTop="1">
      <c r="A9" s="48" t="inlineStr">
        <is>
          <t>Diffrence should be zero</t>
        </is>
      </c>
      <c r="B9" s="49" t="n"/>
      <c r="C9" s="49" t="n"/>
      <c r="D9" s="21" t="n"/>
      <c r="E9" s="21" t="n"/>
      <c r="F9" s="22">
        <f>+F7-F8</f>
        <v/>
      </c>
      <c r="G9" s="21" t="n"/>
      <c r="H9" s="22">
        <f>+H7-H8</f>
        <v/>
      </c>
      <c r="I9" s="21" t="n"/>
      <c r="J9" s="22">
        <f>+J7-J8</f>
        <v/>
      </c>
      <c r="K9" s="21" t="n"/>
      <c r="L9" s="22">
        <f>+L7-L8</f>
        <v/>
      </c>
      <c r="M9" s="22" t="n"/>
      <c r="N9" s="22">
        <f>+N7-N8</f>
        <v/>
      </c>
      <c r="O9" s="22" t="n"/>
      <c r="P9" s="22">
        <f>+P7-P8</f>
        <v/>
      </c>
      <c r="Q9" s="21" t="n"/>
      <c r="R9" s="22">
        <f>+R7-R8</f>
        <v/>
      </c>
      <c r="S9" s="21" t="n"/>
      <c r="T9" s="22">
        <f>+T7-T8</f>
        <v/>
      </c>
      <c r="U9" s="23" t="n"/>
    </row>
    <row r="10" ht="15" customHeight="1" s="69" thickTop="1">
      <c r="A10" s="24" t="n"/>
      <c r="B10" s="24" t="n">
        <v>0</v>
      </c>
      <c r="C10" s="24" t="n"/>
      <c r="D10" s="2" t="n"/>
      <c r="E10" s="2" t="n"/>
      <c r="F10" s="25" t="n"/>
      <c r="G10" s="2" t="n"/>
      <c r="H10" s="25" t="n"/>
      <c r="I10" s="2" t="n"/>
      <c r="J10" s="25" t="n"/>
      <c r="K10" s="2" t="n"/>
      <c r="L10" s="6" t="n"/>
      <c r="M10" s="2" t="n"/>
      <c r="N10" s="25" t="n"/>
      <c r="O10" s="25" t="n"/>
      <c r="P10" s="25" t="n"/>
      <c r="Q10" s="25" t="n"/>
      <c r="R10" s="25" t="n"/>
      <c r="S10" s="2" t="n"/>
      <c r="T10" s="25" t="n"/>
      <c r="U10" s="2" t="n"/>
    </row>
    <row r="11">
      <c r="A11" s="26" t="inlineStr">
        <is>
          <t>sales value diff</t>
        </is>
      </c>
      <c r="D11" s="27">
        <f>+D7-F8-H8-L8-J8-R8-T8-N8-P8</f>
        <v/>
      </c>
      <c r="F11" s="72" t="n"/>
      <c r="M11" s="72" t="n"/>
    </row>
    <row r="12">
      <c r="F12" s="72" t="n"/>
      <c r="G12" s="72" t="n"/>
      <c r="H12" s="29" t="inlineStr">
        <is>
          <t>Petrol</t>
        </is>
      </c>
      <c r="I12" s="29" t="inlineStr">
        <is>
          <t>Diesal</t>
        </is>
      </c>
      <c r="J12" s="29" t="inlineStr">
        <is>
          <t>Power</t>
        </is>
      </c>
    </row>
    <row r="13">
      <c r="A13" s="58" t="inlineStr">
        <is>
          <t>CREDIT DETAIL</t>
        </is>
      </c>
      <c r="B13" s="59" t="n"/>
      <c r="C13" s="59" t="n"/>
      <c r="D13" s="59" t="n"/>
      <c r="E13" s="59" t="n"/>
      <c r="F13" s="57" t="n"/>
      <c r="H13" s="79" t="n">
        <v>88450</v>
      </c>
      <c r="I13" s="80" t="n">
        <v>52635</v>
      </c>
      <c r="J13" s="79" t="n">
        <v>5047</v>
      </c>
    </row>
    <row r="14">
      <c r="A14" s="29" t="inlineStr">
        <is>
          <t>particular</t>
        </is>
      </c>
      <c r="B14" s="29" t="inlineStr">
        <is>
          <t xml:space="preserve">Type </t>
        </is>
      </c>
      <c r="C14" s="31" t="inlineStr">
        <is>
          <t>QTY</t>
        </is>
      </c>
      <c r="D14" s="31" t="inlineStr">
        <is>
          <t>RATE</t>
        </is>
      </c>
      <c r="E14" s="31" t="inlineStr">
        <is>
          <t>AMOUNT</t>
        </is>
      </c>
      <c r="F14" s="32" t="inlineStr">
        <is>
          <t>inv no</t>
        </is>
      </c>
      <c r="H14" s="79" t="n">
        <v>131295</v>
      </c>
      <c r="I14" s="80" t="n">
        <v>79053</v>
      </c>
      <c r="J14" s="79" t="n"/>
      <c r="K14" s="74" t="n"/>
      <c r="L14" s="74" t="n"/>
      <c r="M14" s="74" t="n"/>
    </row>
    <row r="15">
      <c r="A15" s="33" t="inlineStr">
        <is>
          <t>Piploda</t>
        </is>
      </c>
      <c r="B15" s="34" t="inlineStr">
        <is>
          <t>diesal</t>
        </is>
      </c>
      <c r="C15" s="29">
        <f>+E15/D15</f>
        <v/>
      </c>
      <c r="D15" s="79">
        <f>+VLOOKUP(B15,A$4:C$6,3,0)</f>
        <v/>
      </c>
      <c r="E15" s="81" t="n">
        <v>52665.21</v>
      </c>
      <c r="F15" s="34" t="n">
        <v>21395</v>
      </c>
      <c r="H15" s="80" t="n"/>
      <c r="I15" s="80" t="n">
        <v>63238</v>
      </c>
      <c r="J15" s="80" t="n"/>
      <c r="K15" s="72" t="n"/>
    </row>
    <row r="16">
      <c r="A16" s="33" t="inlineStr">
        <is>
          <t>Sita Devi</t>
        </is>
      </c>
      <c r="B16" s="34" t="inlineStr">
        <is>
          <t>diesal</t>
        </is>
      </c>
      <c r="C16" s="29">
        <f>+E16/D16</f>
        <v/>
      </c>
      <c r="D16" s="79">
        <f>+VLOOKUP(B16,A$4:C$6,3,0)</f>
        <v/>
      </c>
      <c r="E16" s="81" t="n">
        <v>3101.7</v>
      </c>
      <c r="F16" s="34" t="n">
        <v>21396</v>
      </c>
      <c r="H16" s="79">
        <f>+H24/C4</f>
        <v/>
      </c>
      <c r="I16" s="43">
        <f>+I24/C5</f>
        <v/>
      </c>
      <c r="J16" s="43">
        <f>+J24/C6</f>
        <v/>
      </c>
      <c r="K16" s="72" t="n"/>
      <c r="M16" s="72" t="n"/>
    </row>
    <row r="17">
      <c r="A17" s="33" t="n"/>
      <c r="B17" s="34" t="inlineStr">
        <is>
          <t>diesal</t>
        </is>
      </c>
      <c r="C17" s="29">
        <f>+E17/D17</f>
        <v/>
      </c>
      <c r="D17" s="79">
        <f>+VLOOKUP(B17,A$4:C$6,3,0)</f>
        <v/>
      </c>
      <c r="E17" s="82" t="n"/>
      <c r="F17" s="34" t="n"/>
      <c r="H17" s="72" t="n"/>
      <c r="K17" s="72" t="n"/>
    </row>
    <row r="18">
      <c r="A18" s="33" t="n"/>
      <c r="B18" s="34" t="inlineStr">
        <is>
          <t>diesal</t>
        </is>
      </c>
      <c r="C18" s="29">
        <f>+E18/D18</f>
        <v/>
      </c>
      <c r="D18" s="79">
        <f>+VLOOKUP(B18,A$4:C$6,3,0)</f>
        <v/>
      </c>
      <c r="E18" s="82" t="n"/>
      <c r="F18" s="34" t="n"/>
    </row>
    <row r="19">
      <c r="A19" s="33" t="n"/>
      <c r="B19" s="34" t="inlineStr">
        <is>
          <t>diesal</t>
        </is>
      </c>
      <c r="C19" s="29">
        <f>+E19/D19</f>
        <v/>
      </c>
      <c r="D19" s="79">
        <f>+VLOOKUP(B19,A$4:C$6,3,0)</f>
        <v/>
      </c>
      <c r="E19" s="82" t="n"/>
      <c r="F19" s="39" t="n"/>
      <c r="K19" s="72" t="n"/>
      <c r="M19" s="72" t="n"/>
    </row>
    <row r="20">
      <c r="A20" s="33" t="n"/>
      <c r="B20" s="34" t="inlineStr">
        <is>
          <t>diesal</t>
        </is>
      </c>
      <c r="C20" s="29">
        <f>+E20/D20</f>
        <v/>
      </c>
      <c r="D20" s="79">
        <f>+VLOOKUP(B20,A$4:C$6,3,0)</f>
        <v/>
      </c>
      <c r="E20" s="82" t="n"/>
      <c r="F20" s="79" t="n"/>
      <c r="K20" s="72" t="n"/>
    </row>
    <row r="21">
      <c r="A21" s="33" t="n"/>
      <c r="B21" s="34" t="inlineStr">
        <is>
          <t>diesal</t>
        </is>
      </c>
      <c r="C21" s="29">
        <f>+E21/D21</f>
        <v/>
      </c>
      <c r="D21" s="79">
        <f>+VLOOKUP(B21,A$4:C$6,3,0)</f>
        <v/>
      </c>
      <c r="E21" s="82" t="n"/>
      <c r="F21" s="35" t="n"/>
      <c r="H21" s="71" t="n"/>
      <c r="K21" s="72" t="n"/>
      <c r="M21" s="72" t="n"/>
    </row>
    <row r="22">
      <c r="A22" s="33" t="n"/>
      <c r="B22" s="34" t="inlineStr">
        <is>
          <t>diesal</t>
        </is>
      </c>
      <c r="C22" s="29">
        <f>+E22/D22</f>
        <v/>
      </c>
      <c r="D22" s="79">
        <f>+VLOOKUP(B22,A$4:C$6,3,0)</f>
        <v/>
      </c>
      <c r="E22" s="82" t="n"/>
      <c r="F22" s="79" t="n"/>
    </row>
    <row r="23">
      <c r="A23" s="34" t="n"/>
      <c r="B23" s="34" t="inlineStr">
        <is>
          <t>diesal</t>
        </is>
      </c>
      <c r="C23" s="29">
        <f>+E23/D23</f>
        <v/>
      </c>
      <c r="D23" s="79">
        <f>+VLOOKUP(B23,A$4:C$6,3,0)</f>
        <v/>
      </c>
      <c r="E23" s="82" t="n"/>
      <c r="F23" s="79" t="n"/>
    </row>
    <row r="24">
      <c r="A24" s="34" t="n"/>
      <c r="B24" s="34" t="inlineStr">
        <is>
          <t>diesal</t>
        </is>
      </c>
      <c r="C24" s="29">
        <f>+E24/D24</f>
        <v/>
      </c>
      <c r="D24" s="79">
        <f>+VLOOKUP(B24,A$4:C$6,3,0)</f>
        <v/>
      </c>
      <c r="E24" s="29" t="n"/>
      <c r="F24" s="79" t="n"/>
      <c r="H24" s="72" t="n"/>
      <c r="I24" s="72" t="n"/>
      <c r="J24" s="72" t="n"/>
    </row>
    <row r="25">
      <c r="A25" s="34" t="n"/>
      <c r="B25" s="34" t="inlineStr">
        <is>
          <t>diesal</t>
        </is>
      </c>
      <c r="C25" s="29">
        <f>+E25/D25</f>
        <v/>
      </c>
      <c r="D25" s="79">
        <f>+VLOOKUP(B25,A$4:C$6,3,0)</f>
        <v/>
      </c>
      <c r="E25" s="29" t="n"/>
      <c r="F25" s="79" t="n"/>
      <c r="H25" s="72" t="n"/>
    </row>
    <row r="26">
      <c r="A26" s="79" t="n"/>
      <c r="B26" s="79" t="n"/>
      <c r="C26" s="29">
        <f>SUM(C15:C25)</f>
        <v/>
      </c>
      <c r="D26" s="29" t="n"/>
      <c r="E26" s="29">
        <f>SUM(E15:E25)</f>
        <v/>
      </c>
      <c r="F26" s="79" t="n"/>
    </row>
    <row r="50">
      <c r="E50" t="n">
        <v>9</v>
      </c>
    </row>
  </sheetData>
  <mergeCells count="16">
    <mergeCell ref="O2:P2"/>
    <mergeCell ref="M2:N2"/>
    <mergeCell ref="S2:T2"/>
    <mergeCell ref="Q2:R2"/>
    <mergeCell ref="A13:F13"/>
    <mergeCell ref="G2:H2"/>
    <mergeCell ref="E2:F2"/>
    <mergeCell ref="K2:L2"/>
    <mergeCell ref="I2:J2"/>
    <mergeCell ref="U2:U3"/>
    <mergeCell ref="C2:C3"/>
    <mergeCell ref="A9:C9"/>
    <mergeCell ref="B2:B3"/>
    <mergeCell ref="A2:A3"/>
    <mergeCell ref="D2:D3"/>
    <mergeCell ref="A8:B8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X50"/>
  <sheetViews>
    <sheetView workbookViewId="0">
      <selection activeCell="A1" sqref="A1"/>
    </sheetView>
  </sheetViews>
  <sheetFormatPr baseColWidth="8" defaultColWidth="9.109375" defaultRowHeight="14.4"/>
  <cols>
    <col width="13.109375" customWidth="1" style="69" min="1" max="1"/>
    <col width="12" customWidth="1" style="69" min="2" max="2"/>
    <col width="12" customWidth="1" style="69" min="4" max="4"/>
    <col width="13.109375" customWidth="1" style="69" min="5" max="5"/>
    <col width="14" customWidth="1" style="69" min="6" max="6"/>
    <col width="10.109375" customWidth="1" style="69" min="7" max="7"/>
    <col width="10.6640625" customWidth="1" style="69" min="8" max="8"/>
    <col width="9.5546875" customWidth="1" style="69" min="9" max="9"/>
    <col width="10.6640625" customWidth="1" style="69" min="10" max="14"/>
    <col width="13.44140625" customWidth="1" style="69" min="15" max="15"/>
    <col width="11.88671875" customWidth="1" style="69" min="16" max="16"/>
    <col width="10.6640625" customWidth="1" style="69" min="18" max="18"/>
    <col width="9.5546875" customWidth="1" style="69" min="19" max="19"/>
    <col width="10.6640625" customWidth="1" style="69" min="20" max="20"/>
    <col width="9.6640625" customWidth="1" style="69" min="21" max="21"/>
    <col width="12.5546875" customWidth="1" style="69" min="23" max="23"/>
    <col width="12" customWidth="1" style="69" min="24" max="24"/>
  </cols>
  <sheetData>
    <row r="1" ht="18.6" customHeight="1" s="69"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</row>
    <row r="2" ht="18.6" customHeight="1" s="69">
      <c r="A2" s="47" t="inlineStr">
        <is>
          <t>Particular</t>
        </is>
      </c>
      <c r="B2" s="47" t="inlineStr">
        <is>
          <t>Qty</t>
        </is>
      </c>
      <c r="C2" s="47" t="inlineStr">
        <is>
          <t>Rate</t>
        </is>
      </c>
      <c r="D2" s="50" t="inlineStr">
        <is>
          <t>Amount</t>
        </is>
      </c>
      <c r="E2" s="56" t="inlineStr">
        <is>
          <t>Pos SBI</t>
        </is>
      </c>
      <c r="F2" s="57" t="n"/>
      <c r="G2" s="56" t="inlineStr">
        <is>
          <t>Paytm</t>
        </is>
      </c>
      <c r="H2" s="57" t="n"/>
      <c r="I2" s="56" t="inlineStr">
        <is>
          <t>HP Card</t>
        </is>
      </c>
      <c r="J2" s="57" t="n"/>
      <c r="K2" s="56" t="inlineStr">
        <is>
          <t>ICICI</t>
        </is>
      </c>
      <c r="L2" s="57" t="n"/>
      <c r="M2" s="56" t="inlineStr">
        <is>
          <t>phone pe</t>
        </is>
      </c>
      <c r="N2" s="57" t="n"/>
      <c r="O2" s="54" t="inlineStr">
        <is>
          <t>mobiquick</t>
        </is>
      </c>
      <c r="P2" s="55" t="n"/>
      <c r="Q2" s="56" t="inlineStr">
        <is>
          <t xml:space="preserve">CASH </t>
        </is>
      </c>
      <c r="R2" s="57" t="n"/>
      <c r="S2" s="56" t="inlineStr">
        <is>
          <t>Credit</t>
        </is>
      </c>
      <c r="T2" s="57" t="n"/>
      <c r="U2" s="45" t="inlineStr">
        <is>
          <t>Qty Diffrence</t>
        </is>
      </c>
      <c r="W2" s="2" t="n"/>
      <c r="X2" s="2" t="n"/>
    </row>
    <row r="3" ht="18.6" customHeight="1" s="69">
      <c r="A3" s="46" t="n"/>
      <c r="B3" s="46" t="n"/>
      <c r="C3" s="46" t="n"/>
      <c r="D3" s="51" t="n"/>
      <c r="E3" s="56" t="inlineStr">
        <is>
          <t>Qty</t>
        </is>
      </c>
      <c r="F3" s="41" t="inlineStr">
        <is>
          <t>Amount</t>
        </is>
      </c>
      <c r="G3" s="56" t="inlineStr">
        <is>
          <t>Qty</t>
        </is>
      </c>
      <c r="H3" s="41" t="inlineStr">
        <is>
          <t>Amount</t>
        </is>
      </c>
      <c r="I3" s="56" t="inlineStr">
        <is>
          <t>Qty</t>
        </is>
      </c>
      <c r="J3" s="41" t="inlineStr">
        <is>
          <t>Amount</t>
        </is>
      </c>
      <c r="K3" s="56" t="inlineStr">
        <is>
          <t>Qty</t>
        </is>
      </c>
      <c r="L3" s="41" t="inlineStr">
        <is>
          <t>Amount</t>
        </is>
      </c>
      <c r="M3" s="56" t="inlineStr">
        <is>
          <t>Qty</t>
        </is>
      </c>
      <c r="N3" s="41" t="inlineStr">
        <is>
          <t>Amount</t>
        </is>
      </c>
      <c r="O3" s="56" t="inlineStr">
        <is>
          <t>Qty</t>
        </is>
      </c>
      <c r="P3" s="41" t="inlineStr">
        <is>
          <t>Amount</t>
        </is>
      </c>
      <c r="Q3" s="56" t="inlineStr">
        <is>
          <t>Qty</t>
        </is>
      </c>
      <c r="R3" s="41" t="inlineStr">
        <is>
          <t>Amount</t>
        </is>
      </c>
      <c r="S3" s="56" t="inlineStr">
        <is>
          <t>Qty</t>
        </is>
      </c>
      <c r="T3" s="41" t="inlineStr">
        <is>
          <t>Amount</t>
        </is>
      </c>
      <c r="U3" s="46" t="n"/>
      <c r="W3" s="2" t="inlineStr">
        <is>
          <t>diesal</t>
        </is>
      </c>
      <c r="X3" s="2">
        <f>+SUMIFS(C15:C25,B15:B25,W3)</f>
        <v/>
      </c>
    </row>
    <row r="4" customFormat="1" s="2">
      <c r="A4" s="3" t="inlineStr">
        <is>
          <t>Petrol</t>
        </is>
      </c>
      <c r="B4" s="12">
        <f>+(H13+H14+H15)/$C$4</f>
        <v/>
      </c>
      <c r="C4" s="4" t="n">
        <v>104.71</v>
      </c>
      <c r="D4" s="5">
        <f>B4*C4</f>
        <v/>
      </c>
      <c r="E4" s="6" t="n">
        <v>0</v>
      </c>
      <c r="F4" s="7">
        <f>+E4*C4</f>
        <v/>
      </c>
      <c r="G4" s="9">
        <f>+(H8*60%)/$C$4</f>
        <v/>
      </c>
      <c r="H4" s="7">
        <f>+G4*C4</f>
        <v/>
      </c>
      <c r="I4" s="6">
        <f>J4/C4</f>
        <v/>
      </c>
      <c r="J4" s="7" t="n">
        <v>0</v>
      </c>
      <c r="K4" s="8">
        <f>+L8/$C$4</f>
        <v/>
      </c>
      <c r="L4" s="7">
        <f>+K4*C4</f>
        <v/>
      </c>
      <c r="M4" s="9">
        <f>+(N8*60%)/$C$4</f>
        <v/>
      </c>
      <c r="N4" s="7">
        <f>+M4*C4</f>
        <v/>
      </c>
      <c r="O4" s="9" t="n"/>
      <c r="P4" s="7">
        <f>+O4*C4</f>
        <v/>
      </c>
      <c r="Q4" s="6" t="n">
        <v>1027.806990736319</v>
      </c>
      <c r="R4" s="7">
        <f>+Q4*C4</f>
        <v/>
      </c>
      <c r="S4" s="10">
        <f>+X4</f>
        <v/>
      </c>
      <c r="T4" s="7">
        <f>+S4*C4</f>
        <v/>
      </c>
      <c r="U4" s="11">
        <f>+B4-E4-G4-Q4-S4-K4-I4-M4-O4</f>
        <v/>
      </c>
      <c r="W4" t="inlineStr">
        <is>
          <t>petrol</t>
        </is>
      </c>
      <c r="X4" s="2">
        <f>+SUMIFS(C15:C26,B15:B26,W4)</f>
        <v/>
      </c>
    </row>
    <row r="5" customFormat="1" s="2">
      <c r="A5" s="3" t="inlineStr">
        <is>
          <t>Diesal</t>
        </is>
      </c>
      <c r="B5" s="12">
        <f>+(I13+I14+I15)/$C$5</f>
        <v/>
      </c>
      <c r="C5" s="4" t="n">
        <v>90.20999999999999</v>
      </c>
      <c r="D5" s="5">
        <f>B5*C5</f>
        <v/>
      </c>
      <c r="E5" s="6" t="n">
        <v>0</v>
      </c>
      <c r="F5" s="7">
        <f>+E5*C5</f>
        <v/>
      </c>
      <c r="G5" s="6">
        <f>+(H8*40%)/$C$5</f>
        <v/>
      </c>
      <c r="H5" s="7">
        <f>+G5*C5</f>
        <v/>
      </c>
      <c r="I5" s="6">
        <f>+J8/C5</f>
        <v/>
      </c>
      <c r="J5" s="7">
        <f>+I5*C5</f>
        <v/>
      </c>
      <c r="K5" s="6" t="n">
        <v>0</v>
      </c>
      <c r="L5" s="7">
        <f>+K5*C5</f>
        <v/>
      </c>
      <c r="M5" s="6">
        <f>+(N8*40%)/$C$5</f>
        <v/>
      </c>
      <c r="N5" s="7">
        <f>+M5*C5</f>
        <v/>
      </c>
      <c r="O5" s="9">
        <f>+P8/C5</f>
        <v/>
      </c>
      <c r="P5" s="7">
        <f>+O5*C5</f>
        <v/>
      </c>
      <c r="Q5" s="6" t="n">
        <v>448.583749030041</v>
      </c>
      <c r="R5" s="7">
        <f>+Q5*C5</f>
        <v/>
      </c>
      <c r="S5" s="10">
        <f>+X3</f>
        <v/>
      </c>
      <c r="T5" s="7">
        <f>+S5*C5</f>
        <v/>
      </c>
      <c r="U5" s="11">
        <f>+B5-E5-G5-Q5-S5-K5-I5-M5-O5</f>
        <v/>
      </c>
      <c r="W5" t="inlineStr">
        <is>
          <t>Petrol Power</t>
        </is>
      </c>
      <c r="X5" s="2">
        <f>+SUMIFS(C17:C27,B17:B27,W5)</f>
        <v/>
      </c>
    </row>
    <row r="6" customFormat="1" s="2">
      <c r="A6" s="3" t="inlineStr">
        <is>
          <t>Petrol Power</t>
        </is>
      </c>
      <c r="B6" s="12">
        <f>+(J13+J14+J15)/$C$6</f>
        <v/>
      </c>
      <c r="C6" s="4" t="n">
        <v>112.8</v>
      </c>
      <c r="D6" s="5">
        <f>B6*C6</f>
        <v/>
      </c>
      <c r="E6" s="6" t="n">
        <v>0</v>
      </c>
      <c r="F6" s="7">
        <f>+E6*C6</f>
        <v/>
      </c>
      <c r="G6" s="6" t="n"/>
      <c r="H6" s="7">
        <f>+G6*C6</f>
        <v/>
      </c>
      <c r="I6" s="6" t="n">
        <v>0</v>
      </c>
      <c r="J6" s="7">
        <f>+I6*C6</f>
        <v/>
      </c>
      <c r="K6" s="6" t="n">
        <v>0</v>
      </c>
      <c r="L6" s="7">
        <f>+K6*C6</f>
        <v/>
      </c>
      <c r="M6" s="9" t="n">
        <v>0</v>
      </c>
      <c r="N6" s="7">
        <f>+M6*C6</f>
        <v/>
      </c>
      <c r="O6" s="9" t="n"/>
      <c r="P6" s="7">
        <f>+O6*C6</f>
        <v/>
      </c>
      <c r="Q6" s="6" t="n">
        <v>19.08687943262411</v>
      </c>
      <c r="R6" s="7">
        <f>+Q6*C6</f>
        <v/>
      </c>
      <c r="S6" s="10">
        <f>+X5</f>
        <v/>
      </c>
      <c r="T6" s="7">
        <f>+S6*C6</f>
        <v/>
      </c>
      <c r="U6" s="11">
        <f>+B6-E6-G6-Q6-S6-K6-I6-M6-O6</f>
        <v/>
      </c>
    </row>
    <row r="7" customFormat="1" s="2">
      <c r="A7" s="3" t="n"/>
      <c r="B7" s="38">
        <f>SUM(B4:B6)</f>
        <v/>
      </c>
      <c r="C7" s="3" t="n"/>
      <c r="D7" s="13">
        <f>SUM(D4:D6)</f>
        <v/>
      </c>
      <c r="E7" s="14">
        <f>SUM(E4:E6)</f>
        <v/>
      </c>
      <c r="F7" s="15">
        <f>SUM(F4:F6)</f>
        <v/>
      </c>
      <c r="G7" s="14">
        <f>SUM(G4:G6)</f>
        <v/>
      </c>
      <c r="H7" s="15">
        <f>SUM(H4:H6)</f>
        <v/>
      </c>
      <c r="I7" s="14">
        <f>SUM(I4:I6)</f>
        <v/>
      </c>
      <c r="J7" s="15">
        <f>SUM(J4:J6)</f>
        <v/>
      </c>
      <c r="K7" s="14">
        <f>SUM(K4:K6)</f>
        <v/>
      </c>
      <c r="L7" s="15">
        <f>SUM(L4:L6)</f>
        <v/>
      </c>
      <c r="M7" s="14">
        <f>SUM(M4:M6)</f>
        <v/>
      </c>
      <c r="N7" s="15">
        <f>SUM(N4:N6)</f>
        <v/>
      </c>
      <c r="O7" s="14">
        <f>SUM(O4:O6)</f>
        <v/>
      </c>
      <c r="P7" s="15">
        <f>SUM(P4:P6)</f>
        <v/>
      </c>
      <c r="Q7" s="14">
        <f>SUM(Q4:Q6)</f>
        <v/>
      </c>
      <c r="R7" s="15">
        <f>SUM(R4:R6)</f>
        <v/>
      </c>
      <c r="S7" s="14">
        <f>SUM(S4:S6)</f>
        <v/>
      </c>
      <c r="T7" s="15">
        <f>SUM(T4:T6)</f>
        <v/>
      </c>
      <c r="U7" s="11">
        <f>+B7-E7-G7-Q7-S7-K7-I7-M7-O7</f>
        <v/>
      </c>
    </row>
    <row r="8" ht="15" customFormat="1" customHeight="1" s="2" thickBot="1">
      <c r="A8" s="52" t="inlineStr">
        <is>
          <t>Actual Amount</t>
        </is>
      </c>
      <c r="B8" s="53" t="n"/>
      <c r="C8" s="16" t="n"/>
      <c r="D8" s="17" t="n"/>
      <c r="E8" s="18" t="n"/>
      <c r="F8" s="19" t="n">
        <v>0</v>
      </c>
      <c r="G8" s="18" t="n"/>
      <c r="H8" s="19" t="n">
        <v>94899.92</v>
      </c>
      <c r="I8" s="18" t="n"/>
      <c r="J8" s="19" t="n">
        <v>105</v>
      </c>
      <c r="K8" s="18" t="n"/>
      <c r="L8" s="19" t="n">
        <v>9939</v>
      </c>
      <c r="M8" s="20" t="n"/>
      <c r="N8" s="19" t="n">
        <v>87575.63</v>
      </c>
      <c r="O8" s="20" t="inlineStr"/>
      <c r="P8" s="19" t="n">
        <v>0</v>
      </c>
      <c r="Q8" s="18" t="n">
        <v>0</v>
      </c>
      <c r="R8" s="19" t="n">
        <v>142241</v>
      </c>
      <c r="S8" s="18" t="n"/>
      <c r="T8" s="19" t="n">
        <v>99042.09</v>
      </c>
      <c r="U8" s="17" t="n"/>
    </row>
    <row r="9" ht="15.6" customHeight="1" s="69" thickBot="1" thickTop="1">
      <c r="A9" s="48" t="inlineStr">
        <is>
          <t>Diffrence should be zero</t>
        </is>
      </c>
      <c r="B9" s="49" t="n"/>
      <c r="C9" s="49" t="n"/>
      <c r="D9" s="21" t="n"/>
      <c r="E9" s="21" t="n"/>
      <c r="F9" s="22">
        <f>+F7-F8</f>
        <v/>
      </c>
      <c r="G9" s="21" t="n"/>
      <c r="H9" s="22">
        <f>+H7-H8</f>
        <v/>
      </c>
      <c r="I9" s="21" t="n"/>
      <c r="J9" s="22">
        <f>+J7-J8</f>
        <v/>
      </c>
      <c r="K9" s="21" t="n"/>
      <c r="L9" s="22">
        <f>+L7-L8</f>
        <v/>
      </c>
      <c r="M9" s="22" t="n"/>
      <c r="N9" s="22">
        <f>+N7-N8</f>
        <v/>
      </c>
      <c r="O9" s="22" t="n"/>
      <c r="P9" s="22">
        <f>+P7-P8</f>
        <v/>
      </c>
      <c r="Q9" s="21" t="n"/>
      <c r="R9" s="22">
        <f>+R7-R8</f>
        <v/>
      </c>
      <c r="S9" s="21" t="n"/>
      <c r="T9" s="22">
        <f>+T7-T8</f>
        <v/>
      </c>
      <c r="U9" s="23" t="n"/>
    </row>
    <row r="10" ht="15" customHeight="1" s="69" thickTop="1">
      <c r="A10" s="24" t="n"/>
      <c r="B10" s="24" t="n">
        <v>0</v>
      </c>
      <c r="C10" s="24" t="n"/>
      <c r="D10" s="2" t="n"/>
      <c r="E10" s="2" t="n"/>
      <c r="F10" s="25" t="n"/>
      <c r="G10" s="2" t="n"/>
      <c r="H10" s="25" t="n"/>
      <c r="I10" s="2" t="n"/>
      <c r="J10" s="25" t="n"/>
      <c r="K10" s="2" t="n"/>
      <c r="L10" s="6" t="n"/>
      <c r="M10" s="2" t="n"/>
      <c r="N10" s="25" t="n"/>
      <c r="O10" s="25" t="n"/>
      <c r="P10" s="25" t="n"/>
      <c r="Q10" s="25" t="n"/>
      <c r="R10" s="25" t="n"/>
      <c r="S10" s="2" t="n"/>
      <c r="T10" s="25" t="n"/>
      <c r="U10" s="2" t="n"/>
    </row>
    <row r="11">
      <c r="A11" s="26" t="inlineStr">
        <is>
          <t>sales value diff</t>
        </is>
      </c>
      <c r="D11" s="27">
        <f>+D7-F8-H8-L8-J8-R8-T8-N8-P8</f>
        <v/>
      </c>
      <c r="F11" s="72" t="n"/>
      <c r="M11" s="72" t="n"/>
    </row>
    <row r="12">
      <c r="F12" s="72" t="n"/>
      <c r="G12" s="72" t="n"/>
      <c r="H12" s="29" t="inlineStr">
        <is>
          <t>Petrol</t>
        </is>
      </c>
      <c r="I12" s="29" t="inlineStr">
        <is>
          <t>Diesal</t>
        </is>
      </c>
      <c r="J12" s="29" t="inlineStr">
        <is>
          <t>Power</t>
        </is>
      </c>
    </row>
    <row r="13">
      <c r="A13" s="58" t="inlineStr">
        <is>
          <t>CREDIT DETAIL</t>
        </is>
      </c>
      <c r="B13" s="59" t="n"/>
      <c r="C13" s="59" t="n"/>
      <c r="D13" s="59" t="n"/>
      <c r="E13" s="59" t="n"/>
      <c r="F13" s="57" t="n"/>
      <c r="H13" s="79" t="n">
        <v>107564</v>
      </c>
      <c r="I13" s="80" t="n">
        <v>50281</v>
      </c>
      <c r="J13" s="79" t="n">
        <v>2153</v>
      </c>
    </row>
    <row r="14">
      <c r="A14" s="29" t="inlineStr">
        <is>
          <t>particular</t>
        </is>
      </c>
      <c r="B14" s="29" t="inlineStr">
        <is>
          <t xml:space="preserve">Type </t>
        </is>
      </c>
      <c r="C14" s="31" t="inlineStr">
        <is>
          <t>QTY</t>
        </is>
      </c>
      <c r="D14" s="31" t="inlineStr">
        <is>
          <t>RATE</t>
        </is>
      </c>
      <c r="E14" s="31" t="inlineStr">
        <is>
          <t>AMOUNT</t>
        </is>
      </c>
      <c r="F14" s="32" t="inlineStr">
        <is>
          <t>inv no</t>
        </is>
      </c>
      <c r="H14" s="79" t="n">
        <v>119482</v>
      </c>
      <c r="I14" s="80" t="n">
        <v>111634</v>
      </c>
      <c r="J14" s="79" t="n"/>
      <c r="K14" s="74" t="n"/>
      <c r="L14" s="74" t="n"/>
      <c r="M14" s="74" t="n"/>
    </row>
    <row r="15">
      <c r="A15" s="33" t="inlineStr">
        <is>
          <t>Sita Devi</t>
        </is>
      </c>
      <c r="B15" s="34" t="inlineStr">
        <is>
          <t>diesal</t>
        </is>
      </c>
      <c r="C15" s="29">
        <f>+E15/D15</f>
        <v/>
      </c>
      <c r="D15" s="79">
        <f>+VLOOKUP(B15,A$4:C$6,3,0)</f>
        <v/>
      </c>
      <c r="E15" s="81" t="n">
        <v>18272.93</v>
      </c>
      <c r="F15" s="34" t="n">
        <v>21399</v>
      </c>
      <c r="H15" s="80" t="n"/>
      <c r="I15" s="80" t="n">
        <v>42689</v>
      </c>
      <c r="J15" s="80" t="n"/>
      <c r="K15" s="72" t="n"/>
    </row>
    <row r="16">
      <c r="A16" s="33" t="inlineStr">
        <is>
          <t>Sita Devi</t>
        </is>
      </c>
      <c r="B16" s="34" t="inlineStr">
        <is>
          <t>diesal</t>
        </is>
      </c>
      <c r="C16" s="29">
        <f>+E16/D16</f>
        <v/>
      </c>
      <c r="D16" s="79">
        <f>+VLOOKUP(B16,A$4:C$6,3,0)</f>
        <v/>
      </c>
      <c r="E16" s="81" t="n">
        <v>27148.63</v>
      </c>
      <c r="F16" s="34" t="n">
        <v>21403</v>
      </c>
      <c r="H16" s="79">
        <f>+H24/C4</f>
        <v/>
      </c>
      <c r="I16" s="43">
        <f>+I24/C5</f>
        <v/>
      </c>
      <c r="J16" s="43">
        <f>+J24/C6</f>
        <v/>
      </c>
      <c r="K16" s="72" t="n"/>
      <c r="M16" s="72" t="n"/>
    </row>
    <row r="17">
      <c r="A17" s="33" t="inlineStr">
        <is>
          <t>mool Chand yadav</t>
        </is>
      </c>
      <c r="B17" s="34" t="inlineStr">
        <is>
          <t>diesal</t>
        </is>
      </c>
      <c r="C17" s="29">
        <f>+E17/D17</f>
        <v/>
      </c>
      <c r="D17" s="79">
        <f>+VLOOKUP(B17,A$4:C$6,3,0)</f>
        <v/>
      </c>
      <c r="E17" s="82" t="n">
        <v>17734.38</v>
      </c>
      <c r="F17" s="34" t="n">
        <v>21400</v>
      </c>
      <c r="H17" s="72" t="n"/>
      <c r="K17" s="72" t="n"/>
    </row>
    <row r="18">
      <c r="A18" s="33" t="inlineStr">
        <is>
          <t>Piploda</t>
        </is>
      </c>
      <c r="B18" s="34" t="inlineStr">
        <is>
          <t>diesal</t>
        </is>
      </c>
      <c r="C18" s="29">
        <f>+E18/D18</f>
        <v/>
      </c>
      <c r="D18" s="79">
        <f>+VLOOKUP(B18,A$4:C$6,3,0)</f>
        <v/>
      </c>
      <c r="E18" s="82" t="n">
        <v>20041.05</v>
      </c>
      <c r="F18" s="34" t="n">
        <v>21401</v>
      </c>
    </row>
    <row r="19">
      <c r="A19" s="33" t="inlineStr">
        <is>
          <t>Piploda</t>
        </is>
      </c>
      <c r="B19" s="34" t="inlineStr">
        <is>
          <t>diesal</t>
        </is>
      </c>
      <c r="C19" s="29">
        <f>+E19/D19</f>
        <v/>
      </c>
      <c r="D19" s="79">
        <f>+VLOOKUP(B19,A$4:C$6,3,0)</f>
        <v/>
      </c>
      <c r="E19" s="82" t="n">
        <v>5849.61</v>
      </c>
      <c r="F19" s="39" t="n">
        <v>21402</v>
      </c>
      <c r="K19" s="72" t="n"/>
      <c r="M19" s="72" t="n"/>
    </row>
    <row r="20">
      <c r="A20" s="33" t="inlineStr">
        <is>
          <t>dinesh</t>
        </is>
      </c>
      <c r="B20" s="34" t="inlineStr">
        <is>
          <t>diesal</t>
        </is>
      </c>
      <c r="C20" s="29">
        <f>+E20/D20</f>
        <v/>
      </c>
      <c r="D20" s="79">
        <f>+VLOOKUP(B20,A$4:C$6,3,0)</f>
        <v/>
      </c>
      <c r="E20" s="82" t="n">
        <v>1995.44</v>
      </c>
      <c r="F20" s="79" t="n">
        <v>21404</v>
      </c>
      <c r="K20" s="72" t="n"/>
    </row>
    <row r="21">
      <c r="A21" s="33" t="n"/>
      <c r="B21" s="34" t="inlineStr">
        <is>
          <t>diesal</t>
        </is>
      </c>
      <c r="C21" s="29">
        <f>+E21/D21</f>
        <v/>
      </c>
      <c r="D21" s="79">
        <f>+VLOOKUP(B21,A$4:C$6,3,0)</f>
        <v/>
      </c>
      <c r="E21" s="82" t="n"/>
      <c r="F21" s="35" t="n"/>
      <c r="H21" s="71" t="n"/>
      <c r="K21" s="72" t="n"/>
      <c r="M21" s="72" t="n"/>
    </row>
    <row r="22">
      <c r="A22" s="33" t="n"/>
      <c r="B22" s="34" t="inlineStr">
        <is>
          <t>diesal</t>
        </is>
      </c>
      <c r="C22" s="29">
        <f>+E22/D22</f>
        <v/>
      </c>
      <c r="D22" s="79">
        <f>+VLOOKUP(B22,A$4:C$6,3,0)</f>
        <v/>
      </c>
      <c r="E22" s="82" t="n"/>
      <c r="F22" s="79" t="n"/>
    </row>
    <row r="23">
      <c r="A23" s="34" t="n"/>
      <c r="B23" s="34" t="inlineStr">
        <is>
          <t>diesal</t>
        </is>
      </c>
      <c r="C23" s="29">
        <f>+E23/D23</f>
        <v/>
      </c>
      <c r="D23" s="79">
        <f>+VLOOKUP(B23,A$4:C$6,3,0)</f>
        <v/>
      </c>
      <c r="E23" s="82" t="n"/>
      <c r="F23" s="79" t="n"/>
    </row>
    <row r="24">
      <c r="A24" s="34" t="n"/>
      <c r="B24" s="34" t="inlineStr">
        <is>
          <t>diesal</t>
        </is>
      </c>
      <c r="C24" s="29">
        <f>+E24/D24</f>
        <v/>
      </c>
      <c r="D24" s="79">
        <f>+VLOOKUP(B24,A$4:C$6,3,0)</f>
        <v/>
      </c>
      <c r="E24" s="29" t="n"/>
      <c r="F24" s="79" t="n"/>
      <c r="H24" s="72" t="n"/>
      <c r="I24" s="72" t="n"/>
      <c r="J24" s="72" t="n"/>
    </row>
    <row r="25">
      <c r="A25" s="34" t="n"/>
      <c r="B25" s="34" t="inlineStr">
        <is>
          <t>diesal</t>
        </is>
      </c>
      <c r="C25" s="29">
        <f>+E25/D25</f>
        <v/>
      </c>
      <c r="D25" s="79">
        <f>+VLOOKUP(B25,A$4:C$6,3,0)</f>
        <v/>
      </c>
      <c r="E25" s="29" t="n"/>
      <c r="F25" s="79" t="n"/>
      <c r="H25" s="72" t="n"/>
    </row>
    <row r="26">
      <c r="A26" s="79" t="n"/>
      <c r="B26" s="79" t="n"/>
      <c r="C26" s="29">
        <f>SUM(C15:C25)</f>
        <v/>
      </c>
      <c r="D26" s="29" t="n"/>
      <c r="E26" s="29">
        <f>SUM(E15:E25)</f>
        <v/>
      </c>
      <c r="F26" s="79" t="n"/>
    </row>
    <row r="50">
      <c r="E50" t="n">
        <v>9</v>
      </c>
    </row>
  </sheetData>
  <mergeCells count="16">
    <mergeCell ref="O2:P2"/>
    <mergeCell ref="M2:N2"/>
    <mergeCell ref="S2:T2"/>
    <mergeCell ref="Q2:R2"/>
    <mergeCell ref="A13:F13"/>
    <mergeCell ref="G2:H2"/>
    <mergeCell ref="E2:F2"/>
    <mergeCell ref="K2:L2"/>
    <mergeCell ref="I2:J2"/>
    <mergeCell ref="U2:U3"/>
    <mergeCell ref="C2:C3"/>
    <mergeCell ref="A9:C9"/>
    <mergeCell ref="B2:B3"/>
    <mergeCell ref="A2:A3"/>
    <mergeCell ref="D2:D3"/>
    <mergeCell ref="A8:B8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X50"/>
  <sheetViews>
    <sheetView workbookViewId="0">
      <selection activeCell="A1" sqref="A1"/>
    </sheetView>
  </sheetViews>
  <sheetFormatPr baseColWidth="8" defaultColWidth="9.109375" defaultRowHeight="14.4"/>
  <cols>
    <col width="13.109375" customWidth="1" style="69" min="1" max="1"/>
    <col width="12" customWidth="1" style="69" min="2" max="2"/>
    <col width="12" customWidth="1" style="69" min="4" max="4"/>
    <col width="13.109375" customWidth="1" style="69" min="5" max="5"/>
    <col width="14" customWidth="1" style="69" min="6" max="6"/>
    <col width="10.109375" customWidth="1" style="69" min="7" max="7"/>
    <col width="10.6640625" customWidth="1" style="69" min="8" max="8"/>
    <col width="9.5546875" customWidth="1" style="69" min="9" max="9"/>
    <col width="10.6640625" customWidth="1" style="69" min="10" max="14"/>
    <col width="13.44140625" customWidth="1" style="69" min="15" max="15"/>
    <col width="11.88671875" customWidth="1" style="69" min="16" max="16"/>
    <col width="10.6640625" customWidth="1" style="69" min="18" max="18"/>
    <col width="9.5546875" customWidth="1" style="69" min="19" max="19"/>
    <col width="10.6640625" customWidth="1" style="69" min="20" max="20"/>
    <col width="9.6640625" customWidth="1" style="69" min="21" max="21"/>
    <col width="12.5546875" customWidth="1" style="69" min="23" max="23"/>
    <col width="12" customWidth="1" style="69" min="24" max="24"/>
  </cols>
  <sheetData>
    <row r="1" ht="18.6" customHeight="1" s="69"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</row>
    <row r="2" ht="18.6" customHeight="1" s="69">
      <c r="A2" s="47" t="inlineStr">
        <is>
          <t>Particular</t>
        </is>
      </c>
      <c r="B2" s="47" t="inlineStr">
        <is>
          <t>Qty</t>
        </is>
      </c>
      <c r="C2" s="47" t="inlineStr">
        <is>
          <t>Rate</t>
        </is>
      </c>
      <c r="D2" s="50" t="inlineStr">
        <is>
          <t>Amount</t>
        </is>
      </c>
      <c r="E2" s="56" t="inlineStr">
        <is>
          <t>Pos SBI</t>
        </is>
      </c>
      <c r="F2" s="57" t="n"/>
      <c r="G2" s="56" t="inlineStr">
        <is>
          <t>Paytm</t>
        </is>
      </c>
      <c r="H2" s="57" t="n"/>
      <c r="I2" s="56" t="inlineStr">
        <is>
          <t>HP Card</t>
        </is>
      </c>
      <c r="J2" s="57" t="n"/>
      <c r="K2" s="56" t="inlineStr">
        <is>
          <t>ICICI</t>
        </is>
      </c>
      <c r="L2" s="57" t="n"/>
      <c r="M2" s="56" t="inlineStr">
        <is>
          <t>phone pe</t>
        </is>
      </c>
      <c r="N2" s="57" t="n"/>
      <c r="O2" s="54" t="inlineStr">
        <is>
          <t>mobiquick</t>
        </is>
      </c>
      <c r="P2" s="55" t="n"/>
      <c r="Q2" s="56" t="inlineStr">
        <is>
          <t xml:space="preserve">CASH </t>
        </is>
      </c>
      <c r="R2" s="57" t="n"/>
      <c r="S2" s="56" t="inlineStr">
        <is>
          <t>Credit</t>
        </is>
      </c>
      <c r="T2" s="57" t="n"/>
      <c r="U2" s="45" t="inlineStr">
        <is>
          <t>Qty Diffrence</t>
        </is>
      </c>
      <c r="W2" s="2" t="n"/>
      <c r="X2" s="2" t="n"/>
    </row>
    <row r="3" ht="18.6" customHeight="1" s="69">
      <c r="A3" s="46" t="n"/>
      <c r="B3" s="46" t="n"/>
      <c r="C3" s="46" t="n"/>
      <c r="D3" s="51" t="n"/>
      <c r="E3" s="56" t="inlineStr">
        <is>
          <t>Qty</t>
        </is>
      </c>
      <c r="F3" s="41" t="inlineStr">
        <is>
          <t>Amount</t>
        </is>
      </c>
      <c r="G3" s="56" t="inlineStr">
        <is>
          <t>Qty</t>
        </is>
      </c>
      <c r="H3" s="41" t="inlineStr">
        <is>
          <t>Amount</t>
        </is>
      </c>
      <c r="I3" s="56" t="inlineStr">
        <is>
          <t>Qty</t>
        </is>
      </c>
      <c r="J3" s="41" t="inlineStr">
        <is>
          <t>Amount</t>
        </is>
      </c>
      <c r="K3" s="56" t="inlineStr">
        <is>
          <t>Qty</t>
        </is>
      </c>
      <c r="L3" s="41" t="inlineStr">
        <is>
          <t>Amount</t>
        </is>
      </c>
      <c r="M3" s="56" t="inlineStr">
        <is>
          <t>Qty</t>
        </is>
      </c>
      <c r="N3" s="41" t="inlineStr">
        <is>
          <t>Amount</t>
        </is>
      </c>
      <c r="O3" s="56" t="inlineStr">
        <is>
          <t>Qty</t>
        </is>
      </c>
      <c r="P3" s="41" t="inlineStr">
        <is>
          <t>Amount</t>
        </is>
      </c>
      <c r="Q3" s="56" t="inlineStr">
        <is>
          <t>Qty</t>
        </is>
      </c>
      <c r="R3" s="41" t="inlineStr">
        <is>
          <t>Amount</t>
        </is>
      </c>
      <c r="S3" s="56" t="inlineStr">
        <is>
          <t>Qty</t>
        </is>
      </c>
      <c r="T3" s="41" t="inlineStr">
        <is>
          <t>Amount</t>
        </is>
      </c>
      <c r="U3" s="46" t="n"/>
      <c r="W3" s="2" t="inlineStr">
        <is>
          <t>diesal</t>
        </is>
      </c>
      <c r="X3" s="2">
        <f>+SUMIFS(C15:C25,B15:B25,W3)</f>
        <v/>
      </c>
    </row>
    <row r="4" customFormat="1" s="2">
      <c r="A4" s="3" t="inlineStr">
        <is>
          <t>Petrol</t>
        </is>
      </c>
      <c r="B4" s="12">
        <f>+(H13+H14+H15)/$C$4</f>
        <v/>
      </c>
      <c r="C4" s="4" t="n">
        <v>104.71</v>
      </c>
      <c r="D4" s="5">
        <f>B4*C4</f>
        <v/>
      </c>
      <c r="E4" s="6" t="n">
        <v>0</v>
      </c>
      <c r="F4" s="7">
        <f>+E4*C4</f>
        <v/>
      </c>
      <c r="G4" s="9">
        <f>+(H8*60%)/$C$4</f>
        <v/>
      </c>
      <c r="H4" s="7">
        <f>+G4*C4</f>
        <v/>
      </c>
      <c r="I4" s="6">
        <f>J4/C4</f>
        <v/>
      </c>
      <c r="J4" s="7" t="n">
        <v>0</v>
      </c>
      <c r="K4" s="8">
        <f>+L8/$C$4</f>
        <v/>
      </c>
      <c r="L4" s="7">
        <f>+K4*C4</f>
        <v/>
      </c>
      <c r="M4" s="9">
        <f>+(N8*60%)/$C$4</f>
        <v/>
      </c>
      <c r="N4" s="7">
        <f>+M4*C4</f>
        <v/>
      </c>
      <c r="O4" s="9" t="n"/>
      <c r="P4" s="7">
        <f>+O4*C4</f>
        <v/>
      </c>
      <c r="Q4" s="6" t="n">
        <v>961.9082036099704</v>
      </c>
      <c r="R4" s="7">
        <f>+Q4*C4</f>
        <v/>
      </c>
      <c r="S4" s="10">
        <f>+X4</f>
        <v/>
      </c>
      <c r="T4" s="7">
        <f>+S4*C4</f>
        <v/>
      </c>
      <c r="U4" s="11">
        <f>+B4-E4-G4-Q4-S4-K4-I4-M4-O4</f>
        <v/>
      </c>
      <c r="W4" t="inlineStr">
        <is>
          <t>petrol</t>
        </is>
      </c>
      <c r="X4" s="2">
        <f>+SUMIFS(C15:C26,B15:B26,W4)</f>
        <v/>
      </c>
    </row>
    <row r="5" customFormat="1" s="2">
      <c r="A5" s="3" t="inlineStr">
        <is>
          <t>Diesal</t>
        </is>
      </c>
      <c r="B5" s="12">
        <f>+(I13+I14+I15)/$C$5</f>
        <v/>
      </c>
      <c r="C5" s="4" t="n">
        <v>90.20999999999999</v>
      </c>
      <c r="D5" s="5">
        <f>B5*C5</f>
        <v/>
      </c>
      <c r="E5" s="6" t="n">
        <v>0</v>
      </c>
      <c r="F5" s="7">
        <f>+E5*C5</f>
        <v/>
      </c>
      <c r="G5" s="6">
        <f>+(H8*40%)/$C$5</f>
        <v/>
      </c>
      <c r="H5" s="7">
        <f>+G5*C5</f>
        <v/>
      </c>
      <c r="I5" s="6">
        <f>+J8/C5</f>
        <v/>
      </c>
      <c r="J5" s="7">
        <f>+I5*C5</f>
        <v/>
      </c>
      <c r="K5" s="6" t="n">
        <v>0</v>
      </c>
      <c r="L5" s="7">
        <f>+K5*C5</f>
        <v/>
      </c>
      <c r="M5" s="6">
        <f>+(N8*40%)/$C$5</f>
        <v/>
      </c>
      <c r="N5" s="7">
        <f>+M5*C5</f>
        <v/>
      </c>
      <c r="O5" s="9">
        <f>+P8/C5</f>
        <v/>
      </c>
      <c r="P5" s="7">
        <f>+O5*C5</f>
        <v/>
      </c>
      <c r="Q5" s="6" t="n">
        <v>705.0796142334552</v>
      </c>
      <c r="R5" s="7">
        <f>+Q5*C5</f>
        <v/>
      </c>
      <c r="S5" s="10">
        <f>+X3</f>
        <v/>
      </c>
      <c r="T5" s="7">
        <f>+S5*C5</f>
        <v/>
      </c>
      <c r="U5" s="11">
        <f>+B5-E5-G5-Q5-S5-K5-I5-M5-O5</f>
        <v/>
      </c>
      <c r="W5" t="inlineStr">
        <is>
          <t>Petrol Power</t>
        </is>
      </c>
      <c r="X5" s="2">
        <f>+SUMIFS(C17:C27,B17:B27,W5)</f>
        <v/>
      </c>
    </row>
    <row r="6" customFormat="1" s="2">
      <c r="A6" s="3" t="inlineStr">
        <is>
          <t>Petrol Power</t>
        </is>
      </c>
      <c r="B6" s="12">
        <f>+(J13+J14+J15)/$C$6</f>
        <v/>
      </c>
      <c r="C6" s="4" t="n">
        <v>112.8</v>
      </c>
      <c r="D6" s="5">
        <f>B6*C6</f>
        <v/>
      </c>
      <c r="E6" s="6" t="n">
        <v>0</v>
      </c>
      <c r="F6" s="7">
        <f>+E6*C6</f>
        <v/>
      </c>
      <c r="G6" s="6" t="n"/>
      <c r="H6" s="7">
        <f>+G6*C6</f>
        <v/>
      </c>
      <c r="I6" s="6" t="n">
        <v>0</v>
      </c>
      <c r="J6" s="7">
        <f>+I6*C6</f>
        <v/>
      </c>
      <c r="K6" s="6" t="n">
        <v>0</v>
      </c>
      <c r="L6" s="7">
        <f>+K6*C6</f>
        <v/>
      </c>
      <c r="M6" s="9" t="n">
        <v>0</v>
      </c>
      <c r="N6" s="7">
        <f>+M6*C6</f>
        <v/>
      </c>
      <c r="O6" s="9" t="n"/>
      <c r="P6" s="7">
        <f>+O6*C6</f>
        <v/>
      </c>
      <c r="Q6" s="6" t="n">
        <v>18.15602836879433</v>
      </c>
      <c r="R6" s="7">
        <f>+Q6*C6</f>
        <v/>
      </c>
      <c r="S6" s="10">
        <f>+X5</f>
        <v/>
      </c>
      <c r="T6" s="7">
        <f>+S6*C6</f>
        <v/>
      </c>
      <c r="U6" s="11">
        <f>+B6-E6-G6-Q6-S6-K6-I6-M6-O6</f>
        <v/>
      </c>
    </row>
    <row r="7" customFormat="1" s="2">
      <c r="A7" s="3" t="n"/>
      <c r="B7" s="38">
        <f>SUM(B4:B6)</f>
        <v/>
      </c>
      <c r="C7" s="3" t="n"/>
      <c r="D7" s="13">
        <f>SUM(D4:D6)</f>
        <v/>
      </c>
      <c r="E7" s="14">
        <f>SUM(E4:E6)</f>
        <v/>
      </c>
      <c r="F7" s="15">
        <f>SUM(F4:F6)</f>
        <v/>
      </c>
      <c r="G7" s="14">
        <f>SUM(G4:G6)</f>
        <v/>
      </c>
      <c r="H7" s="15">
        <f>SUM(H4:H6)</f>
        <v/>
      </c>
      <c r="I7" s="14">
        <f>SUM(I4:I6)</f>
        <v/>
      </c>
      <c r="J7" s="15">
        <f>SUM(J4:J6)</f>
        <v/>
      </c>
      <c r="K7" s="14">
        <f>SUM(K4:K6)</f>
        <v/>
      </c>
      <c r="L7" s="15">
        <f>SUM(L4:L6)</f>
        <v/>
      </c>
      <c r="M7" s="14">
        <f>SUM(M4:M6)</f>
        <v/>
      </c>
      <c r="N7" s="15">
        <f>SUM(N4:N6)</f>
        <v/>
      </c>
      <c r="O7" s="14">
        <f>SUM(O4:O6)</f>
        <v/>
      </c>
      <c r="P7" s="15">
        <f>SUM(P4:P6)</f>
        <v/>
      </c>
      <c r="Q7" s="14">
        <f>SUM(Q4:Q6)</f>
        <v/>
      </c>
      <c r="R7" s="15">
        <f>SUM(R4:R6)</f>
        <v/>
      </c>
      <c r="S7" s="14">
        <f>SUM(S4:S6)</f>
        <v/>
      </c>
      <c r="T7" s="15">
        <f>SUM(T4:T6)</f>
        <v/>
      </c>
      <c r="U7" s="11">
        <f>+B7-E7-G7-Q7-S7-K7-I7-M7-O7</f>
        <v/>
      </c>
    </row>
    <row r="8" ht="15" customFormat="1" customHeight="1" s="2" thickBot="1">
      <c r="A8" s="52" t="inlineStr">
        <is>
          <t>Actual Amount</t>
        </is>
      </c>
      <c r="B8" s="53" t="n"/>
      <c r="C8" s="16" t="n"/>
      <c r="D8" s="17" t="n"/>
      <c r="E8" s="18" t="n"/>
      <c r="F8" s="19" t="n">
        <v>0</v>
      </c>
      <c r="G8" s="18" t="n"/>
      <c r="H8" s="19" t="n">
        <v>63297.25</v>
      </c>
      <c r="I8" s="18" t="n"/>
      <c r="J8" s="19" t="n">
        <v>13400</v>
      </c>
      <c r="K8" s="18" t="n"/>
      <c r="L8" s="19" t="n">
        <v>6750.1</v>
      </c>
      <c r="M8" s="20" t="n"/>
      <c r="N8" s="19" t="n">
        <v>86283.57000000001</v>
      </c>
      <c r="O8" s="20" t="inlineStr"/>
      <c r="P8" s="19" t="n">
        <v>0</v>
      </c>
      <c r="Q8" s="18" t="n">
        <v>0</v>
      </c>
      <c r="R8" s="19" t="n">
        <v>165374</v>
      </c>
      <c r="S8" s="18" t="n"/>
      <c r="T8" s="19" t="n">
        <v>51077</v>
      </c>
      <c r="U8" s="17" t="n"/>
    </row>
    <row r="9" ht="15.6" customHeight="1" s="69" thickBot="1" thickTop="1">
      <c r="A9" s="48" t="inlineStr">
        <is>
          <t>Diffrence should be zero</t>
        </is>
      </c>
      <c r="B9" s="49" t="n"/>
      <c r="C9" s="49" t="n"/>
      <c r="D9" s="21" t="n"/>
      <c r="E9" s="21" t="n"/>
      <c r="F9" s="22">
        <f>+F7-F8</f>
        <v/>
      </c>
      <c r="G9" s="21" t="n"/>
      <c r="H9" s="22">
        <f>+H7-H8</f>
        <v/>
      </c>
      <c r="I9" s="21" t="n"/>
      <c r="J9" s="22">
        <f>+J7-J8</f>
        <v/>
      </c>
      <c r="K9" s="21" t="n"/>
      <c r="L9" s="22">
        <f>+L7-L8</f>
        <v/>
      </c>
      <c r="M9" s="22" t="n"/>
      <c r="N9" s="22">
        <f>+N7-N8</f>
        <v/>
      </c>
      <c r="O9" s="22" t="n"/>
      <c r="P9" s="22">
        <f>+P7-P8</f>
        <v/>
      </c>
      <c r="Q9" s="21" t="n"/>
      <c r="R9" s="22">
        <f>+R7-R8</f>
        <v/>
      </c>
      <c r="S9" s="21" t="n"/>
      <c r="T9" s="22">
        <f>+T7-T8</f>
        <v/>
      </c>
      <c r="U9" s="23" t="n"/>
    </row>
    <row r="10" ht="15" customHeight="1" s="69" thickTop="1">
      <c r="A10" s="24" t="n"/>
      <c r="B10" s="24" t="n">
        <v>0</v>
      </c>
      <c r="C10" s="24" t="n"/>
      <c r="D10" s="2" t="n"/>
      <c r="E10" s="2" t="n"/>
      <c r="F10" s="25" t="n"/>
      <c r="G10" s="2" t="n"/>
      <c r="H10" s="25" t="n"/>
      <c r="I10" s="2" t="n"/>
      <c r="J10" s="25" t="n"/>
      <c r="K10" s="2" t="n"/>
      <c r="L10" s="6" t="n"/>
      <c r="M10" s="2" t="n"/>
      <c r="N10" s="25" t="n"/>
      <c r="O10" s="25" t="n"/>
      <c r="P10" s="25" t="n"/>
      <c r="Q10" s="25" t="n"/>
      <c r="R10" s="25" t="n"/>
      <c r="S10" s="2" t="n"/>
      <c r="T10" s="25" t="n"/>
      <c r="U10" s="2" t="n"/>
    </row>
    <row r="11">
      <c r="A11" s="26" t="inlineStr">
        <is>
          <t>sales value diff</t>
        </is>
      </c>
      <c r="D11" s="27">
        <f>+D7-F8-H8-L8-J8-R8-T8-N8-P8</f>
        <v/>
      </c>
      <c r="F11" s="72" t="n"/>
      <c r="M11" s="72" t="n"/>
    </row>
    <row r="12">
      <c r="F12" s="72" t="n"/>
      <c r="G12" s="72" t="n"/>
      <c r="H12" s="29" t="inlineStr">
        <is>
          <t>Petrol</t>
        </is>
      </c>
      <c r="I12" s="29" t="inlineStr">
        <is>
          <t>Diesal</t>
        </is>
      </c>
      <c r="J12" s="29" t="inlineStr">
        <is>
          <t>Power</t>
        </is>
      </c>
    </row>
    <row r="13">
      <c r="A13" s="58" t="inlineStr">
        <is>
          <t>CREDIT DETAIL</t>
        </is>
      </c>
      <c r="B13" s="59" t="n"/>
      <c r="C13" s="59" t="n"/>
      <c r="D13" s="59" t="n"/>
      <c r="E13" s="59" t="n"/>
      <c r="F13" s="57" t="n"/>
      <c r="H13" s="79" t="n">
        <v>84719</v>
      </c>
      <c r="I13" s="80" t="n">
        <v>90640</v>
      </c>
      <c r="J13" s="79" t="n">
        <v>2048</v>
      </c>
    </row>
    <row r="14">
      <c r="A14" s="29" t="inlineStr">
        <is>
          <t>particular</t>
        </is>
      </c>
      <c r="B14" s="29" t="inlineStr">
        <is>
          <t xml:space="preserve">Type </t>
        </is>
      </c>
      <c r="C14" s="31" t="inlineStr">
        <is>
          <t>QTY</t>
        </is>
      </c>
      <c r="D14" s="31" t="inlineStr">
        <is>
          <t>RATE</t>
        </is>
      </c>
      <c r="E14" s="31" t="inlineStr">
        <is>
          <t>AMOUNT</t>
        </is>
      </c>
      <c r="F14" s="32" t="inlineStr">
        <is>
          <t>inv no</t>
        </is>
      </c>
      <c r="H14" s="79" t="n">
        <v>112501</v>
      </c>
      <c r="I14" s="80" t="n">
        <v>59476</v>
      </c>
      <c r="J14" s="79" t="n"/>
      <c r="K14" s="74" t="n"/>
      <c r="L14" s="74" t="n"/>
      <c r="M14" s="74" t="n"/>
    </row>
    <row r="15">
      <c r="A15" s="33" t="inlineStr">
        <is>
          <t>Sita Devi</t>
        </is>
      </c>
      <c r="B15" s="34" t="inlineStr">
        <is>
          <t>diesal</t>
        </is>
      </c>
      <c r="C15" s="29">
        <f>+E15/D15</f>
        <v/>
      </c>
      <c r="D15" s="79">
        <f>+VLOOKUP(B15,A$4:C$6,3,0)</f>
        <v/>
      </c>
      <c r="E15" s="81" t="n">
        <v>32515.29</v>
      </c>
      <c r="F15" s="34" t="n">
        <v>21405</v>
      </c>
      <c r="H15" s="80" t="n"/>
      <c r="I15" s="80" t="n">
        <v>36798</v>
      </c>
      <c r="J15" s="80" t="n"/>
      <c r="K15" s="72" t="n"/>
    </row>
    <row r="16">
      <c r="A16" s="33" t="inlineStr">
        <is>
          <t>monu</t>
        </is>
      </c>
      <c r="B16" s="34" t="inlineStr">
        <is>
          <t>diesal</t>
        </is>
      </c>
      <c r="C16" s="29">
        <f>+E16/D16</f>
        <v/>
      </c>
      <c r="D16" s="79">
        <f>+VLOOKUP(B16,A$4:C$6,3,0)</f>
        <v/>
      </c>
      <c r="E16" s="81" t="n">
        <v>5500.1</v>
      </c>
      <c r="F16" s="34" t="n">
        <v>21406</v>
      </c>
      <c r="H16" s="79">
        <f>+H24/C4</f>
        <v/>
      </c>
      <c r="I16" s="43">
        <f>+I24/C5</f>
        <v/>
      </c>
      <c r="J16" s="43">
        <f>+J24/C6</f>
        <v/>
      </c>
      <c r="K16" s="72" t="n"/>
      <c r="M16" s="72" t="n"/>
    </row>
    <row r="17">
      <c r="A17" s="33" t="inlineStr">
        <is>
          <t>dinesh</t>
        </is>
      </c>
      <c r="B17" s="34" t="inlineStr">
        <is>
          <t>diesal</t>
        </is>
      </c>
      <c r="C17" s="29">
        <f>+E17/D17</f>
        <v/>
      </c>
      <c r="D17" s="79">
        <f>+VLOOKUP(B17,A$4:C$6,3,0)</f>
        <v/>
      </c>
      <c r="E17" s="82" t="n">
        <v>3289.95</v>
      </c>
      <c r="F17" s="34" t="n">
        <v>21407</v>
      </c>
      <c r="H17" s="72" t="n"/>
      <c r="K17" s="72" t="n"/>
    </row>
    <row r="18">
      <c r="A18" s="33" t="inlineStr">
        <is>
          <t>sayar School</t>
        </is>
      </c>
      <c r="B18" s="34" t="inlineStr">
        <is>
          <t>diesal</t>
        </is>
      </c>
      <c r="C18" s="29">
        <f>+E18/D18</f>
        <v/>
      </c>
      <c r="D18" s="79">
        <f>+VLOOKUP(B18,A$4:C$6,3,0)</f>
        <v/>
      </c>
      <c r="E18" s="82" t="n">
        <v>4855.1</v>
      </c>
      <c r="F18" s="34" t="n">
        <v>21408</v>
      </c>
    </row>
    <row r="19">
      <c r="A19" s="33" t="inlineStr">
        <is>
          <t>Shyam Tran.</t>
        </is>
      </c>
      <c r="B19" s="34" t="inlineStr">
        <is>
          <t>diesal</t>
        </is>
      </c>
      <c r="C19" s="29">
        <f>+E19/D19</f>
        <v/>
      </c>
      <c r="D19" s="79">
        <f>+VLOOKUP(B19,A$4:C$6,3,0)</f>
        <v/>
      </c>
      <c r="E19" s="82" t="n">
        <v>1854.71</v>
      </c>
      <c r="F19" s="39" t="n">
        <v>21409</v>
      </c>
      <c r="K19" s="72" t="n"/>
      <c r="M19" s="72" t="n"/>
    </row>
    <row r="20">
      <c r="A20" s="33" t="inlineStr">
        <is>
          <t>Shyam Tran.</t>
        </is>
      </c>
      <c r="B20" s="34" t="inlineStr">
        <is>
          <t>diesal</t>
        </is>
      </c>
      <c r="C20" s="29">
        <f>+E20/D20</f>
        <v/>
      </c>
      <c r="D20" s="79">
        <f>+VLOOKUP(B20,A$4:C$6,3,0)</f>
        <v/>
      </c>
      <c r="E20" s="82" t="n">
        <v>2061.29</v>
      </c>
      <c r="F20" s="79" t="n">
        <v>21410</v>
      </c>
      <c r="K20" s="72" t="n"/>
    </row>
    <row r="21">
      <c r="A21" s="33" t="n"/>
      <c r="B21" s="34" t="inlineStr">
        <is>
          <t>diesal</t>
        </is>
      </c>
      <c r="C21" s="29">
        <f>+E21/D21</f>
        <v/>
      </c>
      <c r="D21" s="79">
        <f>+VLOOKUP(B21,A$4:C$6,3,0)</f>
        <v/>
      </c>
      <c r="E21" s="82" t="n"/>
      <c r="F21" s="35" t="n"/>
      <c r="H21" s="71" t="n"/>
      <c r="K21" s="72" t="n"/>
      <c r="M21" s="72" t="n"/>
    </row>
    <row r="22">
      <c r="A22" s="33" t="n"/>
      <c r="B22" s="34" t="inlineStr">
        <is>
          <t>diesal</t>
        </is>
      </c>
      <c r="C22" s="29">
        <f>+E22/D22</f>
        <v/>
      </c>
      <c r="D22" s="79">
        <f>+VLOOKUP(B22,A$4:C$6,3,0)</f>
        <v/>
      </c>
      <c r="E22" s="82" t="n"/>
      <c r="F22" s="79" t="n"/>
    </row>
    <row r="23">
      <c r="A23" s="34" t="n"/>
      <c r="B23" s="34" t="inlineStr">
        <is>
          <t>diesal</t>
        </is>
      </c>
      <c r="C23" s="29">
        <f>+E23/D23</f>
        <v/>
      </c>
      <c r="D23" s="79">
        <f>+VLOOKUP(B23,A$4:C$6,3,0)</f>
        <v/>
      </c>
      <c r="E23" s="82" t="n"/>
      <c r="F23" s="79" t="n"/>
    </row>
    <row r="24">
      <c r="A24" s="34" t="n"/>
      <c r="B24" s="34" t="inlineStr">
        <is>
          <t>diesal</t>
        </is>
      </c>
      <c r="C24" s="29">
        <f>+E24/D24</f>
        <v/>
      </c>
      <c r="D24" s="79">
        <f>+VLOOKUP(B24,A$4:C$6,3,0)</f>
        <v/>
      </c>
      <c r="E24" s="29" t="n"/>
      <c r="F24" s="79" t="n"/>
      <c r="H24" s="72" t="n"/>
      <c r="I24" s="72" t="n"/>
      <c r="J24" s="72" t="n"/>
    </row>
    <row r="25">
      <c r="A25" s="34" t="n"/>
      <c r="B25" s="34" t="inlineStr">
        <is>
          <t>diesal</t>
        </is>
      </c>
      <c r="C25" s="29">
        <f>+E25/D25</f>
        <v/>
      </c>
      <c r="D25" s="79">
        <f>+VLOOKUP(B25,A$4:C$6,3,0)</f>
        <v/>
      </c>
      <c r="E25" s="29" t="n"/>
      <c r="F25" s="79" t="n"/>
      <c r="H25" s="72" t="n"/>
    </row>
    <row r="26">
      <c r="A26" s="79" t="n"/>
      <c r="B26" s="79" t="n"/>
      <c r="C26" s="29">
        <f>SUM(C15:C25)</f>
        <v/>
      </c>
      <c r="D26" s="29" t="n"/>
      <c r="E26" s="29">
        <f>SUM(E15:E25)</f>
        <v/>
      </c>
      <c r="F26" s="79" t="n"/>
    </row>
    <row r="50">
      <c r="E50" t="n">
        <v>9</v>
      </c>
    </row>
  </sheetData>
  <mergeCells count="16">
    <mergeCell ref="O2:P2"/>
    <mergeCell ref="M2:N2"/>
    <mergeCell ref="S2:T2"/>
    <mergeCell ref="Q2:R2"/>
    <mergeCell ref="A13:F13"/>
    <mergeCell ref="G2:H2"/>
    <mergeCell ref="E2:F2"/>
    <mergeCell ref="K2:L2"/>
    <mergeCell ref="I2:J2"/>
    <mergeCell ref="U2:U3"/>
    <mergeCell ref="C2:C3"/>
    <mergeCell ref="A9:C9"/>
    <mergeCell ref="B2:B3"/>
    <mergeCell ref="A2:A3"/>
    <mergeCell ref="D2:D3"/>
    <mergeCell ref="A8:B8"/>
  </mergeCell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X50"/>
  <sheetViews>
    <sheetView workbookViewId="0">
      <selection activeCell="A1" sqref="A1"/>
    </sheetView>
  </sheetViews>
  <sheetFormatPr baseColWidth="8" defaultColWidth="9.109375" defaultRowHeight="14.4"/>
  <cols>
    <col width="13.109375" customWidth="1" style="69" min="1" max="1"/>
    <col width="12" customWidth="1" style="69" min="2" max="2"/>
    <col width="12" customWidth="1" style="69" min="4" max="4"/>
    <col width="13.109375" customWidth="1" style="69" min="5" max="5"/>
    <col width="14" customWidth="1" style="69" min="6" max="6"/>
    <col width="10.109375" customWidth="1" style="69" min="7" max="7"/>
    <col width="10.6640625" customWidth="1" style="69" min="8" max="8"/>
    <col width="9.5546875" customWidth="1" style="69" min="9" max="9"/>
    <col width="10.6640625" customWidth="1" style="69" min="10" max="14"/>
    <col width="13.44140625" customWidth="1" style="69" min="15" max="15"/>
    <col width="11.88671875" customWidth="1" style="69" min="16" max="16"/>
    <col width="10.6640625" customWidth="1" style="69" min="18" max="18"/>
    <col width="9.5546875" customWidth="1" style="69" min="19" max="19"/>
    <col width="10.6640625" customWidth="1" style="69" min="20" max="20"/>
    <col width="9.6640625" customWidth="1" style="69" min="21" max="21"/>
    <col width="12.5546875" customWidth="1" style="69" min="23" max="23"/>
    <col width="12" customWidth="1" style="69" min="24" max="24"/>
  </cols>
  <sheetData>
    <row r="1" ht="18.6" customHeight="1" s="69"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</row>
    <row r="2" ht="18.6" customHeight="1" s="69">
      <c r="A2" s="47" t="inlineStr">
        <is>
          <t>Particular</t>
        </is>
      </c>
      <c r="B2" s="47" t="inlineStr">
        <is>
          <t>Qty</t>
        </is>
      </c>
      <c r="C2" s="47" t="inlineStr">
        <is>
          <t>Rate</t>
        </is>
      </c>
      <c r="D2" s="50" t="inlineStr">
        <is>
          <t>Amount</t>
        </is>
      </c>
      <c r="E2" s="56" t="inlineStr">
        <is>
          <t>Pos SBI</t>
        </is>
      </c>
      <c r="F2" s="57" t="n"/>
      <c r="G2" s="56" t="inlineStr">
        <is>
          <t>Paytm</t>
        </is>
      </c>
      <c r="H2" s="57" t="n"/>
      <c r="I2" s="56" t="inlineStr">
        <is>
          <t>HP Card</t>
        </is>
      </c>
      <c r="J2" s="57" t="n"/>
      <c r="K2" s="56" t="inlineStr">
        <is>
          <t>ICICI</t>
        </is>
      </c>
      <c r="L2" s="57" t="n"/>
      <c r="M2" s="56" t="inlineStr">
        <is>
          <t>phone pe</t>
        </is>
      </c>
      <c r="N2" s="57" t="n"/>
      <c r="O2" s="54" t="inlineStr">
        <is>
          <t>mobiquick</t>
        </is>
      </c>
      <c r="P2" s="55" t="n"/>
      <c r="Q2" s="56" t="inlineStr">
        <is>
          <t xml:space="preserve">CASH </t>
        </is>
      </c>
      <c r="R2" s="57" t="n"/>
      <c r="S2" s="56" t="inlineStr">
        <is>
          <t>Credit</t>
        </is>
      </c>
      <c r="T2" s="57" t="n"/>
      <c r="U2" s="45" t="inlineStr">
        <is>
          <t>Qty Diffrence</t>
        </is>
      </c>
      <c r="W2" s="2" t="n"/>
      <c r="X2" s="2" t="n"/>
    </row>
    <row r="3" ht="18.6" customHeight="1" s="69">
      <c r="A3" s="46" t="n"/>
      <c r="B3" s="46" t="n"/>
      <c r="C3" s="46" t="n"/>
      <c r="D3" s="51" t="n"/>
      <c r="E3" s="56" t="inlineStr">
        <is>
          <t>Qty</t>
        </is>
      </c>
      <c r="F3" s="41" t="inlineStr">
        <is>
          <t>Amount</t>
        </is>
      </c>
      <c r="G3" s="56" t="inlineStr">
        <is>
          <t>Qty</t>
        </is>
      </c>
      <c r="H3" s="41" t="inlineStr">
        <is>
          <t>Amount</t>
        </is>
      </c>
      <c r="I3" s="56" t="inlineStr">
        <is>
          <t>Qty</t>
        </is>
      </c>
      <c r="J3" s="41" t="inlineStr">
        <is>
          <t>Amount</t>
        </is>
      </c>
      <c r="K3" s="56" t="inlineStr">
        <is>
          <t>Qty</t>
        </is>
      </c>
      <c r="L3" s="41" t="inlineStr">
        <is>
          <t>Amount</t>
        </is>
      </c>
      <c r="M3" s="56" t="inlineStr">
        <is>
          <t>Qty</t>
        </is>
      </c>
      <c r="N3" s="41" t="inlineStr">
        <is>
          <t>Amount</t>
        </is>
      </c>
      <c r="O3" s="56" t="inlineStr">
        <is>
          <t>Qty</t>
        </is>
      </c>
      <c r="P3" s="41" t="inlineStr">
        <is>
          <t>Amount</t>
        </is>
      </c>
      <c r="Q3" s="56" t="inlineStr">
        <is>
          <t>Qty</t>
        </is>
      </c>
      <c r="R3" s="41" t="inlineStr">
        <is>
          <t>Amount</t>
        </is>
      </c>
      <c r="S3" s="56" t="inlineStr">
        <is>
          <t>Qty</t>
        </is>
      </c>
      <c r="T3" s="41" t="inlineStr">
        <is>
          <t>Amount</t>
        </is>
      </c>
      <c r="U3" s="46" t="n"/>
      <c r="W3" s="2" t="inlineStr">
        <is>
          <t>diesal</t>
        </is>
      </c>
      <c r="X3" s="2">
        <f>+SUMIFS(C15:C25,B15:B25,W3)</f>
        <v/>
      </c>
    </row>
    <row r="4" customFormat="1" s="2">
      <c r="A4" s="3" t="inlineStr">
        <is>
          <t>Petrol</t>
        </is>
      </c>
      <c r="B4" s="12">
        <f>+(H13+H14+H15)/$C$4</f>
        <v/>
      </c>
      <c r="C4" s="4" t="n">
        <v>104.71</v>
      </c>
      <c r="D4" s="5">
        <f>B4*C4</f>
        <v/>
      </c>
      <c r="E4" s="6" t="n">
        <v>0</v>
      </c>
      <c r="F4" s="7">
        <f>+E4*C4</f>
        <v/>
      </c>
      <c r="G4" s="9">
        <f>+(H8*60%)/$C$4</f>
        <v/>
      </c>
      <c r="H4" s="7">
        <f>+G4*C4</f>
        <v/>
      </c>
      <c r="I4" s="6">
        <f>J4/C4</f>
        <v/>
      </c>
      <c r="J4" s="7" t="n">
        <v>0</v>
      </c>
      <c r="K4" s="8">
        <f>+L8/$C$4</f>
        <v/>
      </c>
      <c r="L4" s="7">
        <f>+K4*C4</f>
        <v/>
      </c>
      <c r="M4" s="9">
        <f>+(N8*60%)/$C$4</f>
        <v/>
      </c>
      <c r="N4" s="7">
        <f>+M4*C4</f>
        <v/>
      </c>
      <c r="O4" s="9" t="n"/>
      <c r="P4" s="7">
        <f>+O4*C4</f>
        <v/>
      </c>
      <c r="Q4" s="6" t="n">
        <v>847.3689236940121</v>
      </c>
      <c r="R4" s="7">
        <f>+Q4*C4</f>
        <v/>
      </c>
      <c r="S4" s="10">
        <f>+X4</f>
        <v/>
      </c>
      <c r="T4" s="7">
        <f>+S4*C4</f>
        <v/>
      </c>
      <c r="U4" s="11">
        <f>+B4-E4-G4-Q4-S4-K4-I4-M4-O4</f>
        <v/>
      </c>
      <c r="W4" t="inlineStr">
        <is>
          <t>petrol</t>
        </is>
      </c>
      <c r="X4" s="2">
        <f>+SUMIFS(C15:C26,B15:B26,W4)</f>
        <v/>
      </c>
    </row>
    <row r="5" customFormat="1" s="2">
      <c r="A5" s="3" t="inlineStr">
        <is>
          <t>Diesal</t>
        </is>
      </c>
      <c r="B5" s="12">
        <f>+(I13+I14+I15)/$C$5</f>
        <v/>
      </c>
      <c r="C5" s="4" t="n">
        <v>90.20999999999999</v>
      </c>
      <c r="D5" s="5">
        <f>B5*C5</f>
        <v/>
      </c>
      <c r="E5" s="6" t="n">
        <v>0</v>
      </c>
      <c r="F5" s="7">
        <f>+E5*C5</f>
        <v/>
      </c>
      <c r="G5" s="6">
        <f>+(H8*40%)/$C$5</f>
        <v/>
      </c>
      <c r="H5" s="7">
        <f>+G5*C5</f>
        <v/>
      </c>
      <c r="I5" s="6">
        <f>+J8/C5</f>
        <v/>
      </c>
      <c r="J5" s="7">
        <f>+I5*C5</f>
        <v/>
      </c>
      <c r="K5" s="6" t="n">
        <v>0</v>
      </c>
      <c r="L5" s="7">
        <f>+K5*C5</f>
        <v/>
      </c>
      <c r="M5" s="6">
        <f>+(N8*40%)/$C$5</f>
        <v/>
      </c>
      <c r="N5" s="7">
        <f>+M5*C5</f>
        <v/>
      </c>
      <c r="O5" s="9">
        <f>+P8/C5</f>
        <v/>
      </c>
      <c r="P5" s="7">
        <f>+O5*C5</f>
        <v/>
      </c>
      <c r="Q5" s="6" t="n">
        <v>684.7280789269482</v>
      </c>
      <c r="R5" s="7">
        <f>+Q5*C5</f>
        <v/>
      </c>
      <c r="S5" s="10">
        <f>+X3</f>
        <v/>
      </c>
      <c r="T5" s="7">
        <f>+S5*C5</f>
        <v/>
      </c>
      <c r="U5" s="11">
        <f>+B5-E5-G5-Q5-S5-K5-I5-M5-O5</f>
        <v/>
      </c>
      <c r="W5" t="inlineStr">
        <is>
          <t>Petrol Power</t>
        </is>
      </c>
      <c r="X5" s="2">
        <f>+SUMIFS(C17:C27,B17:B27,W5)</f>
        <v/>
      </c>
    </row>
    <row r="6" customFormat="1" s="2">
      <c r="A6" s="3" t="inlineStr">
        <is>
          <t>Petrol Power</t>
        </is>
      </c>
      <c r="B6" s="12">
        <f>+(J13+J14+J15)/$C$6</f>
        <v/>
      </c>
      <c r="C6" s="4" t="n">
        <v>112.8</v>
      </c>
      <c r="D6" s="5">
        <f>B6*C6</f>
        <v/>
      </c>
      <c r="E6" s="6" t="n">
        <v>0</v>
      </c>
      <c r="F6" s="7">
        <f>+E6*C6</f>
        <v/>
      </c>
      <c r="G6" s="6" t="n"/>
      <c r="H6" s="7">
        <f>+G6*C6</f>
        <v/>
      </c>
      <c r="I6" s="6" t="n">
        <v>0</v>
      </c>
      <c r="J6" s="7">
        <f>+I6*C6</f>
        <v/>
      </c>
      <c r="K6" s="6" t="n">
        <v>0</v>
      </c>
      <c r="L6" s="7">
        <f>+K6*C6</f>
        <v/>
      </c>
      <c r="M6" s="9" t="n">
        <v>0</v>
      </c>
      <c r="N6" s="7">
        <f>+M6*C6</f>
        <v/>
      </c>
      <c r="O6" s="9" t="n"/>
      <c r="P6" s="7">
        <f>+O6*C6</f>
        <v/>
      </c>
      <c r="Q6" s="6" t="n">
        <v>56.62234042553192</v>
      </c>
      <c r="R6" s="7">
        <f>+Q6*C6</f>
        <v/>
      </c>
      <c r="S6" s="10">
        <f>+X5</f>
        <v/>
      </c>
      <c r="T6" s="7">
        <f>+S6*C6</f>
        <v/>
      </c>
      <c r="U6" s="11">
        <f>+B6-E6-G6-Q6-S6-K6-I6-M6-O6</f>
        <v/>
      </c>
    </row>
    <row r="7" customFormat="1" s="2">
      <c r="A7" s="3" t="n"/>
      <c r="B7" s="38">
        <f>SUM(B4:B6)</f>
        <v/>
      </c>
      <c r="C7" s="3" t="n"/>
      <c r="D7" s="13">
        <f>SUM(D4:D6)</f>
        <v/>
      </c>
      <c r="E7" s="14">
        <f>SUM(E4:E6)</f>
        <v/>
      </c>
      <c r="F7" s="15">
        <f>SUM(F4:F6)</f>
        <v/>
      </c>
      <c r="G7" s="14">
        <f>SUM(G4:G6)</f>
        <v/>
      </c>
      <c r="H7" s="15">
        <f>SUM(H4:H6)</f>
        <v/>
      </c>
      <c r="I7" s="14">
        <f>SUM(I4:I6)</f>
        <v/>
      </c>
      <c r="J7" s="15">
        <f>SUM(J4:J6)</f>
        <v/>
      </c>
      <c r="K7" s="14">
        <f>SUM(K4:K6)</f>
        <v/>
      </c>
      <c r="L7" s="15">
        <f>SUM(L4:L6)</f>
        <v/>
      </c>
      <c r="M7" s="14">
        <f>SUM(M4:M6)</f>
        <v/>
      </c>
      <c r="N7" s="15">
        <f>SUM(N4:N6)</f>
        <v/>
      </c>
      <c r="O7" s="14">
        <f>SUM(O4:O6)</f>
        <v/>
      </c>
      <c r="P7" s="15">
        <f>SUM(P4:P6)</f>
        <v/>
      </c>
      <c r="Q7" s="14">
        <f>SUM(Q4:Q6)</f>
        <v/>
      </c>
      <c r="R7" s="15">
        <f>SUM(R4:R6)</f>
        <v/>
      </c>
      <c r="S7" s="14">
        <f>SUM(S4:S6)</f>
        <v/>
      </c>
      <c r="T7" s="15">
        <f>SUM(T4:T6)</f>
        <v/>
      </c>
      <c r="U7" s="11">
        <f>+B7-E7-G7-Q7-S7-K7-I7-M7-O7</f>
        <v/>
      </c>
    </row>
    <row r="8" ht="15" customFormat="1" customHeight="1" s="2" thickBot="1">
      <c r="A8" s="52" t="inlineStr">
        <is>
          <t>Actual Amount</t>
        </is>
      </c>
      <c r="B8" s="53" t="n"/>
      <c r="C8" s="16" t="n"/>
      <c r="D8" s="17" t="n"/>
      <c r="E8" s="18" t="n"/>
      <c r="F8" s="19" t="n">
        <v>0</v>
      </c>
      <c r="G8" s="18" t="n"/>
      <c r="H8" s="19" t="n">
        <v>99905.67999999999</v>
      </c>
      <c r="I8" s="18" t="n"/>
      <c r="J8" s="19" t="n">
        <v>2600</v>
      </c>
      <c r="K8" s="18" t="n"/>
      <c r="L8" s="19" t="n">
        <v>5350.35</v>
      </c>
      <c r="M8" s="20" t="n"/>
      <c r="N8" s="19" t="n">
        <v>79017.07000000001</v>
      </c>
      <c r="O8" s="20" t="inlineStr"/>
      <c r="P8" s="19" t="n">
        <v>0</v>
      </c>
      <c r="Q8" s="18" t="n">
        <v>0</v>
      </c>
      <c r="R8" s="19" t="n">
        <v>154884</v>
      </c>
      <c r="S8" s="18" t="n"/>
      <c r="T8" s="19" t="n">
        <v>60103.51</v>
      </c>
      <c r="U8" s="17" t="n"/>
    </row>
    <row r="9" ht="15.6" customHeight="1" s="69" thickBot="1" thickTop="1">
      <c r="A9" s="48" t="inlineStr">
        <is>
          <t>Diffrence should be zero</t>
        </is>
      </c>
      <c r="B9" s="49" t="n"/>
      <c r="C9" s="49" t="n"/>
      <c r="D9" s="21" t="n"/>
      <c r="E9" s="21" t="n"/>
      <c r="F9" s="22">
        <f>+F7-F8</f>
        <v/>
      </c>
      <c r="G9" s="21" t="n"/>
      <c r="H9" s="22">
        <f>+H7-H8</f>
        <v/>
      </c>
      <c r="I9" s="21" t="n"/>
      <c r="J9" s="22">
        <f>+J7-J8</f>
        <v/>
      </c>
      <c r="K9" s="21" t="n"/>
      <c r="L9" s="22">
        <f>+L7-L8</f>
        <v/>
      </c>
      <c r="M9" s="22" t="n"/>
      <c r="N9" s="22">
        <f>+N7-N8</f>
        <v/>
      </c>
      <c r="O9" s="22" t="n"/>
      <c r="P9" s="22">
        <f>+P7-P8</f>
        <v/>
      </c>
      <c r="Q9" s="21" t="n"/>
      <c r="R9" s="22">
        <f>+R7-R8</f>
        <v/>
      </c>
      <c r="S9" s="21" t="n"/>
      <c r="T9" s="22">
        <f>+T7-T8</f>
        <v/>
      </c>
      <c r="U9" s="23" t="n"/>
    </row>
    <row r="10" ht="15" customHeight="1" s="69" thickTop="1">
      <c r="A10" s="24" t="n"/>
      <c r="B10" s="24" t="n">
        <v>0</v>
      </c>
      <c r="C10" s="24" t="n"/>
      <c r="D10" s="2" t="n"/>
      <c r="E10" s="2" t="n"/>
      <c r="F10" s="25" t="n"/>
      <c r="G10" s="2" t="n"/>
      <c r="H10" s="25" t="n"/>
      <c r="I10" s="2" t="n"/>
      <c r="J10" s="25" t="n"/>
      <c r="K10" s="2" t="n"/>
      <c r="L10" s="6" t="n"/>
      <c r="M10" s="2" t="n"/>
      <c r="N10" s="25" t="n"/>
      <c r="O10" s="25" t="n"/>
      <c r="P10" s="25" t="n"/>
      <c r="Q10" s="25" t="n"/>
      <c r="R10" s="25" t="n"/>
      <c r="S10" s="2" t="n"/>
      <c r="T10" s="25" t="n"/>
      <c r="U10" s="2" t="n"/>
    </row>
    <row r="11">
      <c r="A11" s="26" t="inlineStr">
        <is>
          <t>sales value diff</t>
        </is>
      </c>
      <c r="D11" s="27">
        <f>+D7-F8-H8-L8-J8-R8-T8-N8-P8</f>
        <v/>
      </c>
      <c r="F11" s="72" t="n"/>
      <c r="M11" s="72" t="n"/>
    </row>
    <row r="12">
      <c r="F12" s="72" t="n"/>
      <c r="G12" s="72" t="n"/>
      <c r="H12" s="29" t="inlineStr">
        <is>
          <t>Petrol</t>
        </is>
      </c>
      <c r="I12" s="29" t="inlineStr">
        <is>
          <t>Diesal</t>
        </is>
      </c>
      <c r="J12" s="29" t="inlineStr">
        <is>
          <t>Power</t>
        </is>
      </c>
    </row>
    <row r="13">
      <c r="A13" s="58" t="inlineStr">
        <is>
          <t>CREDIT DETAIL</t>
        </is>
      </c>
      <c r="B13" s="59" t="n"/>
      <c r="C13" s="59" t="n"/>
      <c r="D13" s="59" t="n"/>
      <c r="E13" s="59" t="n"/>
      <c r="F13" s="57" t="n"/>
      <c r="H13" s="79" t="n">
        <v>98759</v>
      </c>
      <c r="I13" s="80" t="n">
        <v>41342</v>
      </c>
      <c r="J13" s="79" t="n">
        <v>6387</v>
      </c>
    </row>
    <row r="14">
      <c r="A14" s="29" t="inlineStr">
        <is>
          <t>particular</t>
        </is>
      </c>
      <c r="B14" s="29" t="inlineStr">
        <is>
          <t xml:space="preserve">Type </t>
        </is>
      </c>
      <c r="C14" s="31" t="inlineStr">
        <is>
          <t>QTY</t>
        </is>
      </c>
      <c r="D14" s="31" t="inlineStr">
        <is>
          <t>RATE</t>
        </is>
      </c>
      <c r="E14" s="31" t="inlineStr">
        <is>
          <t>AMOUNT</t>
        </is>
      </c>
      <c r="F14" s="32" t="inlineStr">
        <is>
          <t>inv no</t>
        </is>
      </c>
      <c r="H14" s="79" t="n">
        <v>102673</v>
      </c>
      <c r="I14" s="80" t="n">
        <v>56383</v>
      </c>
      <c r="J14" s="79" t="n"/>
      <c r="K14" s="74" t="n"/>
      <c r="L14" s="74" t="n"/>
      <c r="M14" s="74" t="n"/>
    </row>
    <row r="15">
      <c r="A15" s="33" t="inlineStr">
        <is>
          <t>mool Chand yadav</t>
        </is>
      </c>
      <c r="B15" s="34" t="inlineStr">
        <is>
          <t>diesal</t>
        </is>
      </c>
      <c r="C15" s="29">
        <f>+E15/D15</f>
        <v/>
      </c>
      <c r="D15" s="79">
        <f>+VLOOKUP(B15,A$4:C$6,3,0)</f>
        <v/>
      </c>
      <c r="E15" s="81" t="n">
        <v>19470.92</v>
      </c>
      <c r="F15" s="34" t="n">
        <v>21411</v>
      </c>
      <c r="H15" s="80" t="n"/>
      <c r="I15" s="80" t="n">
        <v>96317</v>
      </c>
      <c r="J15" s="80" t="n"/>
      <c r="K15" s="72" t="n"/>
    </row>
    <row r="16">
      <c r="A16" s="33" t="inlineStr">
        <is>
          <t>Sita Devi</t>
        </is>
      </c>
      <c r="B16" s="34" t="inlineStr">
        <is>
          <t>diesal</t>
        </is>
      </c>
      <c r="C16" s="29">
        <f>+E16/D16</f>
        <v/>
      </c>
      <c r="D16" s="79">
        <f>+VLOOKUP(B16,A$4:C$6,3,0)</f>
        <v/>
      </c>
      <c r="E16" s="81" t="n">
        <v>31500.49</v>
      </c>
      <c r="F16" s="34" t="n">
        <v>21412</v>
      </c>
      <c r="H16" s="79">
        <f>+H24/C4</f>
        <v/>
      </c>
      <c r="I16" s="43">
        <f>+I24/C5</f>
        <v/>
      </c>
      <c r="J16" s="43">
        <f>+J24/C6</f>
        <v/>
      </c>
      <c r="K16" s="72" t="n"/>
      <c r="M16" s="72" t="n"/>
    </row>
    <row r="17">
      <c r="A17" s="33" t="inlineStr">
        <is>
          <t>mk Soler</t>
        </is>
      </c>
      <c r="B17" s="34" t="inlineStr">
        <is>
          <t>diesal</t>
        </is>
      </c>
      <c r="C17" s="29">
        <f>+E17/D17</f>
        <v/>
      </c>
      <c r="D17" s="79">
        <f>+VLOOKUP(B17,A$4:C$6,3,0)</f>
        <v/>
      </c>
      <c r="E17" s="82" t="n">
        <v>3349.67</v>
      </c>
      <c r="F17" s="34" t="n">
        <v>21413</v>
      </c>
      <c r="H17" s="72" t="n"/>
      <c r="K17" s="72" t="n"/>
    </row>
    <row r="18">
      <c r="A18" s="33" t="inlineStr">
        <is>
          <t>Shyam Tran.</t>
        </is>
      </c>
      <c r="B18" s="34" t="inlineStr">
        <is>
          <t>diesal</t>
        </is>
      </c>
      <c r="C18" s="29">
        <f>+E18/D18</f>
        <v/>
      </c>
      <c r="D18" s="79">
        <f>+VLOOKUP(B18,A$4:C$6,3,0)</f>
        <v/>
      </c>
      <c r="E18" s="82" t="n">
        <v>3782.5</v>
      </c>
      <c r="F18" s="34" t="n">
        <v>21414</v>
      </c>
    </row>
    <row r="19">
      <c r="A19" s="33" t="n"/>
      <c r="B19" s="34" t="inlineStr">
        <is>
          <t>diesal</t>
        </is>
      </c>
      <c r="C19" s="29">
        <f>+E19/D19</f>
        <v/>
      </c>
      <c r="D19" s="79">
        <f>+VLOOKUP(B19,A$4:C$6,3,0)</f>
        <v/>
      </c>
      <c r="E19" s="82" t="n"/>
      <c r="F19" s="39" t="n"/>
      <c r="K19" s="72" t="n"/>
      <c r="M19" s="72" t="n"/>
    </row>
    <row r="20">
      <c r="A20" s="33" t="n"/>
      <c r="B20" s="34" t="inlineStr">
        <is>
          <t>diesal</t>
        </is>
      </c>
      <c r="C20" s="29">
        <f>+E20/D20</f>
        <v/>
      </c>
      <c r="D20" s="79">
        <f>+VLOOKUP(B20,A$4:C$6,3,0)</f>
        <v/>
      </c>
      <c r="E20" s="82" t="n"/>
      <c r="F20" s="79" t="n"/>
      <c r="K20" s="72" t="n"/>
    </row>
    <row r="21">
      <c r="A21" s="33" t="n"/>
      <c r="B21" s="34" t="inlineStr">
        <is>
          <t>diesal</t>
        </is>
      </c>
      <c r="C21" s="29">
        <f>+E21/D21</f>
        <v/>
      </c>
      <c r="D21" s="79">
        <f>+VLOOKUP(B21,A$4:C$6,3,0)</f>
        <v/>
      </c>
      <c r="E21" s="82" t="n"/>
      <c r="F21" s="35" t="n"/>
      <c r="H21" s="71" t="n"/>
      <c r="K21" s="72" t="n"/>
      <c r="M21" s="72" t="n"/>
    </row>
    <row r="22">
      <c r="A22" s="33" t="n"/>
      <c r="B22" s="34" t="inlineStr">
        <is>
          <t>diesal</t>
        </is>
      </c>
      <c r="C22" s="29">
        <f>+E22/D22</f>
        <v/>
      </c>
      <c r="D22" s="79">
        <f>+VLOOKUP(B22,A$4:C$6,3,0)</f>
        <v/>
      </c>
      <c r="E22" s="82" t="n"/>
      <c r="F22" s="79" t="n"/>
    </row>
    <row r="23">
      <c r="A23" s="34" t="n"/>
      <c r="B23" s="34" t="inlineStr">
        <is>
          <t>diesal</t>
        </is>
      </c>
      <c r="C23" s="29">
        <f>+E23/D23</f>
        <v/>
      </c>
      <c r="D23" s="79">
        <f>+VLOOKUP(B23,A$4:C$6,3,0)</f>
        <v/>
      </c>
      <c r="E23" s="82" t="n"/>
      <c r="F23" s="79" t="n"/>
    </row>
    <row r="24">
      <c r="A24" s="34" t="n"/>
      <c r="B24" s="34" t="inlineStr">
        <is>
          <t>diesal</t>
        </is>
      </c>
      <c r="C24" s="29">
        <f>+E24/D24</f>
        <v/>
      </c>
      <c r="D24" s="79">
        <f>+VLOOKUP(B24,A$4:C$6,3,0)</f>
        <v/>
      </c>
      <c r="E24" s="29" t="n"/>
      <c r="F24" s="79" t="n"/>
      <c r="H24" s="72" t="n"/>
      <c r="I24" s="72" t="n"/>
      <c r="J24" s="72" t="n"/>
    </row>
    <row r="25">
      <c r="A25" s="34" t="n"/>
      <c r="B25" s="34" t="inlineStr">
        <is>
          <t>diesal</t>
        </is>
      </c>
      <c r="C25" s="29">
        <f>+E25/D25</f>
        <v/>
      </c>
      <c r="D25" s="79">
        <f>+VLOOKUP(B25,A$4:C$6,3,0)</f>
        <v/>
      </c>
      <c r="E25" s="29" t="n"/>
      <c r="F25" s="79" t="n"/>
      <c r="H25" s="72" t="n"/>
    </row>
    <row r="26">
      <c r="A26" s="79" t="n"/>
      <c r="B26" s="79" t="n"/>
      <c r="C26" s="29">
        <f>SUM(C15:C25)</f>
        <v/>
      </c>
      <c r="D26" s="29" t="n"/>
      <c r="E26" s="29">
        <f>SUM(E15:E25)</f>
        <v/>
      </c>
      <c r="F26" s="79" t="n"/>
    </row>
    <row r="50">
      <c r="E50" t="n">
        <v>9</v>
      </c>
    </row>
  </sheetData>
  <mergeCells count="16">
    <mergeCell ref="O2:P2"/>
    <mergeCell ref="M2:N2"/>
    <mergeCell ref="S2:T2"/>
    <mergeCell ref="Q2:R2"/>
    <mergeCell ref="A13:F13"/>
    <mergeCell ref="G2:H2"/>
    <mergeCell ref="E2:F2"/>
    <mergeCell ref="K2:L2"/>
    <mergeCell ref="I2:J2"/>
    <mergeCell ref="U2:U3"/>
    <mergeCell ref="C2:C3"/>
    <mergeCell ref="A9:C9"/>
    <mergeCell ref="B2:B3"/>
    <mergeCell ref="A2:A3"/>
    <mergeCell ref="D2:D3"/>
    <mergeCell ref="A8:B8"/>
  </mergeCell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X50"/>
  <sheetViews>
    <sheetView workbookViewId="0">
      <selection activeCell="A1" sqref="A1"/>
    </sheetView>
  </sheetViews>
  <sheetFormatPr baseColWidth="8" defaultColWidth="9.109375" defaultRowHeight="14.4"/>
  <cols>
    <col width="13.109375" customWidth="1" style="69" min="1" max="1"/>
    <col width="12" customWidth="1" style="69" min="2" max="2"/>
    <col width="12" customWidth="1" style="69" min="4" max="4"/>
    <col width="13.109375" customWidth="1" style="69" min="5" max="5"/>
    <col width="14" customWidth="1" style="69" min="6" max="6"/>
    <col width="10.109375" customWidth="1" style="69" min="7" max="7"/>
    <col width="10.6640625" customWidth="1" style="69" min="8" max="8"/>
    <col width="9.5546875" customWidth="1" style="69" min="9" max="9"/>
    <col width="10.6640625" customWidth="1" style="69" min="10" max="14"/>
    <col width="13.44140625" customWidth="1" style="69" min="15" max="15"/>
    <col width="11.88671875" customWidth="1" style="69" min="16" max="16"/>
    <col width="10.6640625" customWidth="1" style="69" min="18" max="18"/>
    <col width="9.5546875" customWidth="1" style="69" min="19" max="19"/>
    <col width="10.6640625" customWidth="1" style="69" min="20" max="20"/>
    <col width="9.6640625" customWidth="1" style="69" min="21" max="21"/>
    <col width="12.5546875" customWidth="1" style="69" min="23" max="23"/>
    <col width="12" customWidth="1" style="69" min="24" max="24"/>
  </cols>
  <sheetData>
    <row r="1" ht="18.6" customHeight="1" s="69"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</row>
    <row r="2" ht="18.6" customHeight="1" s="69">
      <c r="A2" s="47" t="inlineStr">
        <is>
          <t>Particular</t>
        </is>
      </c>
      <c r="B2" s="47" t="inlineStr">
        <is>
          <t>Qty</t>
        </is>
      </c>
      <c r="C2" s="47" t="inlineStr">
        <is>
          <t>Rate</t>
        </is>
      </c>
      <c r="D2" s="50" t="inlineStr">
        <is>
          <t>Amount</t>
        </is>
      </c>
      <c r="E2" s="56" t="inlineStr">
        <is>
          <t>Pos SBI</t>
        </is>
      </c>
      <c r="F2" s="57" t="n"/>
      <c r="G2" s="56" t="inlineStr">
        <is>
          <t>Paytm</t>
        </is>
      </c>
      <c r="H2" s="57" t="n"/>
      <c r="I2" s="56" t="inlineStr">
        <is>
          <t>HP Card</t>
        </is>
      </c>
      <c r="J2" s="57" t="n"/>
      <c r="K2" s="56" t="inlineStr">
        <is>
          <t>ICICI</t>
        </is>
      </c>
      <c r="L2" s="57" t="n"/>
      <c r="M2" s="56" t="inlineStr">
        <is>
          <t>phone pe</t>
        </is>
      </c>
      <c r="N2" s="57" t="n"/>
      <c r="O2" s="54" t="inlineStr">
        <is>
          <t>mobiquick</t>
        </is>
      </c>
      <c r="P2" s="55" t="n"/>
      <c r="Q2" s="56" t="inlineStr">
        <is>
          <t xml:space="preserve">CASH </t>
        </is>
      </c>
      <c r="R2" s="57" t="n"/>
      <c r="S2" s="56" t="inlineStr">
        <is>
          <t>Credit</t>
        </is>
      </c>
      <c r="T2" s="57" t="n"/>
      <c r="U2" s="45" t="inlineStr">
        <is>
          <t>Qty Diffrence</t>
        </is>
      </c>
      <c r="W2" s="2" t="n"/>
      <c r="X2" s="2" t="n"/>
    </row>
    <row r="3" ht="18.6" customHeight="1" s="69">
      <c r="A3" s="46" t="n"/>
      <c r="B3" s="46" t="n"/>
      <c r="C3" s="46" t="n"/>
      <c r="D3" s="51" t="n"/>
      <c r="E3" s="56" t="inlineStr">
        <is>
          <t>Qty</t>
        </is>
      </c>
      <c r="F3" s="41" t="inlineStr">
        <is>
          <t>Amount</t>
        </is>
      </c>
      <c r="G3" s="56" t="inlineStr">
        <is>
          <t>Qty</t>
        </is>
      </c>
      <c r="H3" s="41" t="inlineStr">
        <is>
          <t>Amount</t>
        </is>
      </c>
      <c r="I3" s="56" t="inlineStr">
        <is>
          <t>Qty</t>
        </is>
      </c>
      <c r="J3" s="41" t="inlineStr">
        <is>
          <t>Amount</t>
        </is>
      </c>
      <c r="K3" s="56" t="inlineStr">
        <is>
          <t>Qty</t>
        </is>
      </c>
      <c r="L3" s="41" t="inlineStr">
        <is>
          <t>Amount</t>
        </is>
      </c>
      <c r="M3" s="56" t="inlineStr">
        <is>
          <t>Qty</t>
        </is>
      </c>
      <c r="N3" s="41" t="inlineStr">
        <is>
          <t>Amount</t>
        </is>
      </c>
      <c r="O3" s="56" t="inlineStr">
        <is>
          <t>Qty</t>
        </is>
      </c>
      <c r="P3" s="41" t="inlineStr">
        <is>
          <t>Amount</t>
        </is>
      </c>
      <c r="Q3" s="56" t="inlineStr">
        <is>
          <t>Qty</t>
        </is>
      </c>
      <c r="R3" s="41" t="inlineStr">
        <is>
          <t>Amount</t>
        </is>
      </c>
      <c r="S3" s="56" t="inlineStr">
        <is>
          <t>Qty</t>
        </is>
      </c>
      <c r="T3" s="41" t="inlineStr">
        <is>
          <t>Amount</t>
        </is>
      </c>
      <c r="U3" s="46" t="n"/>
      <c r="W3" s="2" t="inlineStr">
        <is>
          <t>diesal</t>
        </is>
      </c>
      <c r="X3" s="2">
        <f>+SUMIFS(C15:C25,B15:B25,W3)</f>
        <v/>
      </c>
    </row>
    <row r="4" customFormat="1" s="2">
      <c r="A4" s="3" t="inlineStr">
        <is>
          <t>Petrol</t>
        </is>
      </c>
      <c r="B4" s="12">
        <f>+(H13+H14+H15)/$C$4</f>
        <v/>
      </c>
      <c r="C4" s="4" t="n">
        <v>104.71</v>
      </c>
      <c r="D4" s="5">
        <f>B4*C4</f>
        <v/>
      </c>
      <c r="E4" s="6" t="n">
        <v>0</v>
      </c>
      <c r="F4" s="7">
        <f>+E4*C4</f>
        <v/>
      </c>
      <c r="G4" s="9">
        <f>+(H8*60%)/$C$4</f>
        <v/>
      </c>
      <c r="H4" s="7">
        <f>+G4*C4</f>
        <v/>
      </c>
      <c r="I4" s="6">
        <f>J4/C4</f>
        <v/>
      </c>
      <c r="J4" s="7" t="n">
        <v>0</v>
      </c>
      <c r="K4" s="8">
        <f>+L8/$C$4</f>
        <v/>
      </c>
      <c r="L4" s="7">
        <f>+K4*C4</f>
        <v/>
      </c>
      <c r="M4" s="9">
        <f>+(N8*60%)/$C$4</f>
        <v/>
      </c>
      <c r="N4" s="7">
        <f>+M4*C4</f>
        <v/>
      </c>
      <c r="O4" s="9" t="n"/>
      <c r="P4" s="7">
        <f>+O4*C4</f>
        <v/>
      </c>
      <c r="Q4" s="6" t="n">
        <v>937.590392512654</v>
      </c>
      <c r="R4" s="7">
        <f>+Q4*C4</f>
        <v/>
      </c>
      <c r="S4" s="10">
        <f>+X4</f>
        <v/>
      </c>
      <c r="T4" s="7">
        <f>+S4*C4</f>
        <v/>
      </c>
      <c r="U4" s="11">
        <f>+B4-E4-G4-Q4-S4-K4-I4-M4-O4</f>
        <v/>
      </c>
      <c r="W4" t="inlineStr">
        <is>
          <t>petrol</t>
        </is>
      </c>
      <c r="X4" s="2">
        <f>+SUMIFS(C15:C26,B15:B26,W4)</f>
        <v/>
      </c>
    </row>
    <row r="5" customFormat="1" s="2">
      <c r="A5" s="3" t="inlineStr">
        <is>
          <t>Diesal</t>
        </is>
      </c>
      <c r="B5" s="12">
        <f>+(I13+I14+I15)/$C$5</f>
        <v/>
      </c>
      <c r="C5" s="4" t="n">
        <v>90.20999999999999</v>
      </c>
      <c r="D5" s="5">
        <f>B5*C5</f>
        <v/>
      </c>
      <c r="E5" s="6" t="n">
        <v>0</v>
      </c>
      <c r="F5" s="7">
        <f>+E5*C5</f>
        <v/>
      </c>
      <c r="G5" s="6">
        <f>+(H8*40%)/$C$5</f>
        <v/>
      </c>
      <c r="H5" s="7">
        <f>+G5*C5</f>
        <v/>
      </c>
      <c r="I5" s="6">
        <f>+J8/C5</f>
        <v/>
      </c>
      <c r="J5" s="7">
        <f>+I5*C5</f>
        <v/>
      </c>
      <c r="K5" s="6" t="n">
        <v>0</v>
      </c>
      <c r="L5" s="7">
        <f>+K5*C5</f>
        <v/>
      </c>
      <c r="M5" s="6">
        <f>+(N8*40%)/$C$5</f>
        <v/>
      </c>
      <c r="N5" s="7">
        <f>+M5*C5</f>
        <v/>
      </c>
      <c r="O5" s="9">
        <f>+P8/C5</f>
        <v/>
      </c>
      <c r="P5" s="7">
        <f>+O5*C5</f>
        <v/>
      </c>
      <c r="Q5" s="6" t="n">
        <v>638.4000665114731</v>
      </c>
      <c r="R5" s="7">
        <f>+Q5*C5</f>
        <v/>
      </c>
      <c r="S5" s="10">
        <f>+X3</f>
        <v/>
      </c>
      <c r="T5" s="7">
        <f>+S5*C5</f>
        <v/>
      </c>
      <c r="U5" s="11">
        <f>+B5-E5-G5-Q5-S5-K5-I5-M5-O5</f>
        <v/>
      </c>
      <c r="W5" t="inlineStr">
        <is>
          <t>Petrol Power</t>
        </is>
      </c>
      <c r="X5" s="2">
        <f>+SUMIFS(C17:C27,B17:B27,W5)</f>
        <v/>
      </c>
    </row>
    <row r="6" customFormat="1" s="2">
      <c r="A6" s="3" t="inlineStr">
        <is>
          <t>Petrol Power</t>
        </is>
      </c>
      <c r="B6" s="12">
        <f>+(J13+J14+J15)/$C$6</f>
        <v/>
      </c>
      <c r="C6" s="4" t="n">
        <v>112.8</v>
      </c>
      <c r="D6" s="5">
        <f>B6*C6</f>
        <v/>
      </c>
      <c r="E6" s="6" t="n">
        <v>0</v>
      </c>
      <c r="F6" s="7">
        <f>+E6*C6</f>
        <v/>
      </c>
      <c r="G6" s="6" t="n"/>
      <c r="H6" s="7">
        <f>+G6*C6</f>
        <v/>
      </c>
      <c r="I6" s="6" t="n">
        <v>0</v>
      </c>
      <c r="J6" s="7">
        <f>+I6*C6</f>
        <v/>
      </c>
      <c r="K6" s="6" t="n">
        <v>0</v>
      </c>
      <c r="L6" s="7">
        <f>+K6*C6</f>
        <v/>
      </c>
      <c r="M6" s="9" t="n">
        <v>0</v>
      </c>
      <c r="N6" s="7">
        <f>+M6*C6</f>
        <v/>
      </c>
      <c r="O6" s="9" t="n"/>
      <c r="P6" s="7">
        <f>+O6*C6</f>
        <v/>
      </c>
      <c r="Q6" s="6" t="n">
        <v>17.83687943262411</v>
      </c>
      <c r="R6" s="7">
        <f>+Q6*C6</f>
        <v/>
      </c>
      <c r="S6" s="10">
        <f>+X5</f>
        <v/>
      </c>
      <c r="T6" s="7">
        <f>+S6*C6</f>
        <v/>
      </c>
      <c r="U6" s="11">
        <f>+B6-E6-G6-Q6-S6-K6-I6-M6-O6</f>
        <v/>
      </c>
    </row>
    <row r="7" customFormat="1" s="2">
      <c r="A7" s="3" t="n"/>
      <c r="B7" s="38">
        <f>SUM(B4:B6)</f>
        <v/>
      </c>
      <c r="C7" s="3" t="n"/>
      <c r="D7" s="13">
        <f>SUM(D4:D6)</f>
        <v/>
      </c>
      <c r="E7" s="14">
        <f>SUM(E4:E6)</f>
        <v/>
      </c>
      <c r="F7" s="15">
        <f>SUM(F4:F6)</f>
        <v/>
      </c>
      <c r="G7" s="14">
        <f>SUM(G4:G6)</f>
        <v/>
      </c>
      <c r="H7" s="15">
        <f>SUM(H4:H6)</f>
        <v/>
      </c>
      <c r="I7" s="14">
        <f>SUM(I4:I6)</f>
        <v/>
      </c>
      <c r="J7" s="15">
        <f>SUM(J4:J6)</f>
        <v/>
      </c>
      <c r="K7" s="14">
        <f>SUM(K4:K6)</f>
        <v/>
      </c>
      <c r="L7" s="15">
        <f>SUM(L4:L6)</f>
        <v/>
      </c>
      <c r="M7" s="14">
        <f>SUM(M4:M6)</f>
        <v/>
      </c>
      <c r="N7" s="15">
        <f>SUM(N4:N6)</f>
        <v/>
      </c>
      <c r="O7" s="14">
        <f>SUM(O4:O6)</f>
        <v/>
      </c>
      <c r="P7" s="15">
        <f>SUM(P4:P6)</f>
        <v/>
      </c>
      <c r="Q7" s="14">
        <f>SUM(Q4:Q6)</f>
        <v/>
      </c>
      <c r="R7" s="15">
        <f>SUM(R4:R6)</f>
        <v/>
      </c>
      <c r="S7" s="14">
        <f>SUM(S4:S6)</f>
        <v/>
      </c>
      <c r="T7" s="15">
        <f>SUM(T4:T6)</f>
        <v/>
      </c>
      <c r="U7" s="11">
        <f>+B7-E7-G7-Q7-S7-K7-I7-M7-O7</f>
        <v/>
      </c>
    </row>
    <row r="8" ht="15" customFormat="1" customHeight="1" s="2" thickBot="1">
      <c r="A8" s="52" t="inlineStr">
        <is>
          <t>Actual Amount</t>
        </is>
      </c>
      <c r="B8" s="53" t="n"/>
      <c r="C8" s="16" t="n"/>
      <c r="D8" s="17" t="n"/>
      <c r="E8" s="18" t="n"/>
      <c r="F8" s="19" t="n">
        <v>0</v>
      </c>
      <c r="G8" s="18" t="n"/>
      <c r="H8" s="19" t="n">
        <v>61435.3</v>
      </c>
      <c r="I8" s="18" t="n"/>
      <c r="J8" s="19" t="n">
        <v>0</v>
      </c>
      <c r="K8" s="18" t="n"/>
      <c r="L8" s="19" t="n">
        <v>5455</v>
      </c>
      <c r="M8" s="20" t="n"/>
      <c r="N8" s="19" t="n">
        <v>97184.55</v>
      </c>
      <c r="O8" s="20" t="inlineStr"/>
      <c r="P8" s="19" t="n">
        <v>0</v>
      </c>
      <c r="Q8" s="18" t="n">
        <v>0</v>
      </c>
      <c r="R8" s="19" t="n">
        <v>129778</v>
      </c>
      <c r="S8" s="18" t="n"/>
      <c r="T8" s="19" t="n">
        <v>48126.9</v>
      </c>
      <c r="U8" s="17" t="n"/>
    </row>
    <row r="9" ht="15.6" customHeight="1" s="69" thickBot="1" thickTop="1">
      <c r="A9" s="48" t="inlineStr">
        <is>
          <t>Diffrence should be zero</t>
        </is>
      </c>
      <c r="B9" s="49" t="n"/>
      <c r="C9" s="49" t="n"/>
      <c r="D9" s="21" t="n"/>
      <c r="E9" s="21" t="n"/>
      <c r="F9" s="22">
        <f>+F7-F8</f>
        <v/>
      </c>
      <c r="G9" s="21" t="n"/>
      <c r="H9" s="22">
        <f>+H7-H8</f>
        <v/>
      </c>
      <c r="I9" s="21" t="n"/>
      <c r="J9" s="22">
        <f>+J7-J8</f>
        <v/>
      </c>
      <c r="K9" s="21" t="n"/>
      <c r="L9" s="22">
        <f>+L7-L8</f>
        <v/>
      </c>
      <c r="M9" s="22" t="n"/>
      <c r="N9" s="22">
        <f>+N7-N8</f>
        <v/>
      </c>
      <c r="O9" s="22" t="n"/>
      <c r="P9" s="22">
        <f>+P7-P8</f>
        <v/>
      </c>
      <c r="Q9" s="21" t="n"/>
      <c r="R9" s="22">
        <f>+R7-R8</f>
        <v/>
      </c>
      <c r="S9" s="21" t="n"/>
      <c r="T9" s="22">
        <f>+T7-T8</f>
        <v/>
      </c>
      <c r="U9" s="23" t="n"/>
    </row>
    <row r="10" ht="15" customHeight="1" s="69" thickTop="1">
      <c r="A10" s="24" t="n"/>
      <c r="B10" s="24" t="n">
        <v>0</v>
      </c>
      <c r="C10" s="24" t="n"/>
      <c r="D10" s="2" t="n"/>
      <c r="E10" s="2" t="n"/>
      <c r="F10" s="25" t="n"/>
      <c r="G10" s="2" t="n"/>
      <c r="H10" s="25" t="n"/>
      <c r="I10" s="2" t="n"/>
      <c r="J10" s="25" t="n"/>
      <c r="K10" s="2" t="n"/>
      <c r="L10" s="6" t="n"/>
      <c r="M10" s="2" t="n"/>
      <c r="N10" s="25" t="n"/>
      <c r="O10" s="25" t="n"/>
      <c r="P10" s="25" t="n"/>
      <c r="Q10" s="25" t="n"/>
      <c r="R10" s="25" t="n"/>
      <c r="S10" s="2" t="n"/>
      <c r="T10" s="25" t="n"/>
      <c r="U10" s="2" t="n"/>
    </row>
    <row r="11">
      <c r="A11" s="26" t="inlineStr">
        <is>
          <t>sales value diff</t>
        </is>
      </c>
      <c r="D11" s="27">
        <f>+D7-F8-H8-L8-J8-R8-T8-N8-P8</f>
        <v/>
      </c>
      <c r="F11" s="72" t="n"/>
      <c r="M11" s="72" t="n"/>
    </row>
    <row r="12">
      <c r="F12" s="72" t="n"/>
      <c r="G12" s="72" t="n"/>
      <c r="H12" s="29" t="inlineStr">
        <is>
          <t>Petrol</t>
        </is>
      </c>
      <c r="I12" s="29" t="inlineStr">
        <is>
          <t>Diesal</t>
        </is>
      </c>
      <c r="J12" s="29" t="inlineStr">
        <is>
          <t>Power</t>
        </is>
      </c>
    </row>
    <row r="13">
      <c r="A13" s="58" t="inlineStr">
        <is>
          <t>CREDIT DETAIL</t>
        </is>
      </c>
      <c r="B13" s="59" t="n"/>
      <c r="C13" s="59" t="n"/>
      <c r="D13" s="59" t="n"/>
      <c r="E13" s="59" t="n"/>
      <c r="F13" s="57" t="n"/>
      <c r="H13" s="79" t="n">
        <v>81956</v>
      </c>
      <c r="I13" s="80" t="n">
        <v>56822</v>
      </c>
      <c r="J13" s="79" t="n">
        <v>2012</v>
      </c>
    </row>
    <row r="14">
      <c r="A14" s="29" t="inlineStr">
        <is>
          <t>particular</t>
        </is>
      </c>
      <c r="B14" s="29" t="inlineStr">
        <is>
          <t xml:space="preserve">Type </t>
        </is>
      </c>
      <c r="C14" s="31" t="inlineStr">
        <is>
          <t>QTY</t>
        </is>
      </c>
      <c r="D14" s="31" t="inlineStr">
        <is>
          <t>RATE</t>
        </is>
      </c>
      <c r="E14" s="31" t="inlineStr">
        <is>
          <t>AMOUNT</t>
        </is>
      </c>
      <c r="F14" s="32" t="inlineStr">
        <is>
          <t>inv no</t>
        </is>
      </c>
      <c r="H14" s="79" t="n">
        <v>116846</v>
      </c>
      <c r="I14" s="80" t="n">
        <v>43726</v>
      </c>
      <c r="J14" s="79" t="n"/>
      <c r="K14" s="74" t="n"/>
      <c r="L14" s="74" t="n"/>
      <c r="M14" s="74" t="n"/>
    </row>
    <row r="15">
      <c r="A15" s="33" t="inlineStr">
        <is>
          <t>Shyam Tran.</t>
        </is>
      </c>
      <c r="B15" s="34" t="inlineStr">
        <is>
          <t>diesal</t>
        </is>
      </c>
      <c r="C15" s="29">
        <f>+E15/D15</f>
        <v/>
      </c>
      <c r="D15" s="79">
        <f>+VLOOKUP(B15,A$4:C$6,3,0)</f>
        <v/>
      </c>
      <c r="E15" s="81" t="n">
        <v>3436.09</v>
      </c>
      <c r="F15" s="34" t="n">
        <v>21417</v>
      </c>
      <c r="H15" s="80" t="n"/>
      <c r="I15" s="80" t="n">
        <v>40617</v>
      </c>
      <c r="J15" s="80" t="n"/>
      <c r="K15" s="72" t="n"/>
    </row>
    <row r="16">
      <c r="A16" s="33" t="inlineStr">
        <is>
          <t>Sita Devi</t>
        </is>
      </c>
      <c r="B16" s="34" t="inlineStr">
        <is>
          <t>diesal</t>
        </is>
      </c>
      <c r="C16" s="29">
        <f>+E16/D16</f>
        <v/>
      </c>
      <c r="D16" s="79">
        <f>+VLOOKUP(B16,A$4:C$6,3,0)</f>
        <v/>
      </c>
      <c r="E16" s="81" t="n">
        <v>3103.5</v>
      </c>
      <c r="F16" s="34" t="n">
        <v>21418</v>
      </c>
      <c r="H16" s="79">
        <f>+H24/C4</f>
        <v/>
      </c>
      <c r="I16" s="43">
        <f>+I24/C5</f>
        <v/>
      </c>
      <c r="J16" s="43">
        <f>+J24/C6</f>
        <v/>
      </c>
      <c r="K16" s="72" t="n"/>
      <c r="M16" s="72" t="n"/>
    </row>
    <row r="17">
      <c r="A17" s="33" t="inlineStr">
        <is>
          <t>monu</t>
        </is>
      </c>
      <c r="B17" s="34" t="inlineStr">
        <is>
          <t>diesal</t>
        </is>
      </c>
      <c r="C17" s="29">
        <f>+E17/D17</f>
        <v/>
      </c>
      <c r="D17" s="79">
        <f>+VLOOKUP(B17,A$4:C$6,3,0)</f>
        <v/>
      </c>
      <c r="E17" s="82" t="n">
        <v>5504.61</v>
      </c>
      <c r="F17" s="34" t="n">
        <v>21419</v>
      </c>
      <c r="H17" s="72" t="n"/>
      <c r="K17" s="72" t="n"/>
    </row>
    <row r="18">
      <c r="A18" s="33" t="inlineStr">
        <is>
          <t>Balaji Care and Cure</t>
        </is>
      </c>
      <c r="B18" s="34" t="inlineStr">
        <is>
          <t>diesal</t>
        </is>
      </c>
      <c r="C18" s="29">
        <f>+E18/D18</f>
        <v/>
      </c>
      <c r="D18" s="79">
        <f>+VLOOKUP(B18,A$4:C$6,3,0)</f>
        <v/>
      </c>
      <c r="E18" s="82" t="n">
        <v>5412.6</v>
      </c>
      <c r="F18" s="34" t="n">
        <v>21421</v>
      </c>
    </row>
    <row r="19">
      <c r="A19" s="33" t="inlineStr">
        <is>
          <t>Balaji Care and Cure</t>
        </is>
      </c>
      <c r="B19" s="34" t="inlineStr">
        <is>
          <t>diesal</t>
        </is>
      </c>
      <c r="C19" s="29">
        <f>+E19/D19</f>
        <v/>
      </c>
      <c r="D19" s="79">
        <f>+VLOOKUP(B19,A$4:C$6,3,0)</f>
        <v/>
      </c>
      <c r="E19" s="82" t="n">
        <v>2670.19</v>
      </c>
      <c r="F19" s="39" t="n">
        <v>21422</v>
      </c>
      <c r="K19" s="72" t="n"/>
      <c r="M19" s="72" t="n"/>
    </row>
    <row r="20">
      <c r="A20" s="33" t="n"/>
      <c r="B20" s="34" t="inlineStr">
        <is>
          <t>diesal</t>
        </is>
      </c>
      <c r="C20" s="29">
        <f>+E20/D20</f>
        <v/>
      </c>
      <c r="D20" s="79">
        <f>+VLOOKUP(B20,A$4:C$6,3,0)</f>
        <v/>
      </c>
      <c r="E20" s="82" t="n"/>
      <c r="F20" s="79" t="n"/>
      <c r="K20" s="72" t="n"/>
    </row>
    <row r="21">
      <c r="A21" s="33" t="n"/>
      <c r="B21" s="34" t="inlineStr">
        <is>
          <t>diesal</t>
        </is>
      </c>
      <c r="C21" s="29">
        <f>+E21/D21</f>
        <v/>
      </c>
      <c r="D21" s="79">
        <f>+VLOOKUP(B21,A$4:C$6,3,0)</f>
        <v/>
      </c>
      <c r="E21" s="82" t="n"/>
      <c r="F21" s="35" t="n"/>
      <c r="H21" s="71" t="n"/>
      <c r="K21" s="72" t="n"/>
      <c r="M21" s="72" t="n"/>
    </row>
    <row r="22">
      <c r="A22" s="33" t="n"/>
      <c r="B22" s="34" t="inlineStr">
        <is>
          <t>diesal</t>
        </is>
      </c>
      <c r="C22" s="29">
        <f>+E22/D22</f>
        <v/>
      </c>
      <c r="D22" s="79">
        <f>+VLOOKUP(B22,A$4:C$6,3,0)</f>
        <v/>
      </c>
      <c r="E22" s="82" t="n"/>
      <c r="F22" s="79" t="n"/>
    </row>
    <row r="23">
      <c r="A23" s="34" t="n"/>
      <c r="B23" s="34" t="inlineStr">
        <is>
          <t>diesal</t>
        </is>
      </c>
      <c r="C23" s="29">
        <f>+E23/D23</f>
        <v/>
      </c>
      <c r="D23" s="79">
        <f>+VLOOKUP(B23,A$4:C$6,3,0)</f>
        <v/>
      </c>
      <c r="E23" s="82" t="n"/>
      <c r="F23" s="79" t="n"/>
    </row>
    <row r="24">
      <c r="A24" s="34" t="n"/>
      <c r="B24" s="34" t="inlineStr">
        <is>
          <t>diesal</t>
        </is>
      </c>
      <c r="C24" s="29">
        <f>+E24/D24</f>
        <v/>
      </c>
      <c r="D24" s="79">
        <f>+VLOOKUP(B24,A$4:C$6,3,0)</f>
        <v/>
      </c>
      <c r="E24" s="29" t="n"/>
      <c r="F24" s="79" t="n"/>
      <c r="H24" s="72" t="n"/>
      <c r="I24" s="72" t="n"/>
      <c r="J24" s="72" t="n"/>
    </row>
    <row r="25">
      <c r="A25" s="34" t="n"/>
      <c r="B25" s="34" t="inlineStr">
        <is>
          <t>diesal</t>
        </is>
      </c>
      <c r="C25" s="29">
        <f>+E25/D25</f>
        <v/>
      </c>
      <c r="D25" s="79">
        <f>+VLOOKUP(B25,A$4:C$6,3,0)</f>
        <v/>
      </c>
      <c r="E25" s="29" t="n"/>
      <c r="F25" s="79" t="n"/>
      <c r="H25" s="72" t="n"/>
    </row>
    <row r="26">
      <c r="A26" s="79" t="n"/>
      <c r="B26" s="79" t="n"/>
      <c r="C26" s="29">
        <f>SUM(C15:C25)</f>
        <v/>
      </c>
      <c r="D26" s="29" t="n"/>
      <c r="E26" s="29">
        <f>SUM(E15:E25)</f>
        <v/>
      </c>
      <c r="F26" s="79" t="n"/>
    </row>
    <row r="50">
      <c r="E50" t="n">
        <v>9</v>
      </c>
    </row>
  </sheetData>
  <mergeCells count="16">
    <mergeCell ref="O2:P2"/>
    <mergeCell ref="M2:N2"/>
    <mergeCell ref="S2:T2"/>
    <mergeCell ref="Q2:R2"/>
    <mergeCell ref="A13:F13"/>
    <mergeCell ref="G2:H2"/>
    <mergeCell ref="E2:F2"/>
    <mergeCell ref="K2:L2"/>
    <mergeCell ref="I2:J2"/>
    <mergeCell ref="U2:U3"/>
    <mergeCell ref="C2:C3"/>
    <mergeCell ref="A9:C9"/>
    <mergeCell ref="B2:B3"/>
    <mergeCell ref="A2:A3"/>
    <mergeCell ref="D2:D3"/>
    <mergeCell ref="A8:B8"/>
  </mergeCell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X50"/>
  <sheetViews>
    <sheetView workbookViewId="0">
      <selection activeCell="A1" sqref="A1"/>
    </sheetView>
  </sheetViews>
  <sheetFormatPr baseColWidth="8" defaultColWidth="9.109375" defaultRowHeight="14.4"/>
  <cols>
    <col width="13.109375" customWidth="1" style="69" min="1" max="1"/>
    <col width="12" customWidth="1" style="69" min="2" max="2"/>
    <col width="12" customWidth="1" style="69" min="4" max="4"/>
    <col width="13.109375" customWidth="1" style="69" min="5" max="5"/>
    <col width="14" customWidth="1" style="69" min="6" max="6"/>
    <col width="10.109375" customWidth="1" style="69" min="7" max="7"/>
    <col width="10.6640625" customWidth="1" style="69" min="8" max="8"/>
    <col width="9.5546875" customWidth="1" style="69" min="9" max="9"/>
    <col width="10.6640625" customWidth="1" style="69" min="10" max="14"/>
    <col width="13.44140625" customWidth="1" style="69" min="15" max="15"/>
    <col width="11.88671875" customWidth="1" style="69" min="16" max="16"/>
    <col width="10.6640625" customWidth="1" style="69" min="18" max="18"/>
    <col width="9.5546875" customWidth="1" style="69" min="19" max="19"/>
    <col width="10.6640625" customWidth="1" style="69" min="20" max="20"/>
    <col width="9.6640625" customWidth="1" style="69" min="21" max="21"/>
    <col width="12.5546875" customWidth="1" style="69" min="23" max="23"/>
    <col width="12" customWidth="1" style="69" min="24" max="24"/>
  </cols>
  <sheetData>
    <row r="1" ht="18.6" customHeight="1" s="69"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</row>
    <row r="2" ht="18.6" customHeight="1" s="69">
      <c r="A2" s="47" t="inlineStr">
        <is>
          <t>Particular</t>
        </is>
      </c>
      <c r="B2" s="47" t="inlineStr">
        <is>
          <t>Qty</t>
        </is>
      </c>
      <c r="C2" s="47" t="inlineStr">
        <is>
          <t>Rate</t>
        </is>
      </c>
      <c r="D2" s="50" t="inlineStr">
        <is>
          <t>Amount</t>
        </is>
      </c>
      <c r="E2" s="56" t="inlineStr">
        <is>
          <t>Pos SBI</t>
        </is>
      </c>
      <c r="F2" s="57" t="n"/>
      <c r="G2" s="56" t="inlineStr">
        <is>
          <t>Paytm</t>
        </is>
      </c>
      <c r="H2" s="57" t="n"/>
      <c r="I2" s="56" t="inlineStr">
        <is>
          <t>HP Card</t>
        </is>
      </c>
      <c r="J2" s="57" t="n"/>
      <c r="K2" s="56" t="inlineStr">
        <is>
          <t>ICICI</t>
        </is>
      </c>
      <c r="L2" s="57" t="n"/>
      <c r="M2" s="56" t="inlineStr">
        <is>
          <t>phone pe</t>
        </is>
      </c>
      <c r="N2" s="57" t="n"/>
      <c r="O2" s="54" t="inlineStr">
        <is>
          <t>mobiquick</t>
        </is>
      </c>
      <c r="P2" s="55" t="n"/>
      <c r="Q2" s="56" t="inlineStr">
        <is>
          <t xml:space="preserve">CASH </t>
        </is>
      </c>
      <c r="R2" s="57" t="n"/>
      <c r="S2" s="56" t="inlineStr">
        <is>
          <t>Credit</t>
        </is>
      </c>
      <c r="T2" s="57" t="n"/>
      <c r="U2" s="45" t="inlineStr">
        <is>
          <t>Qty Diffrence</t>
        </is>
      </c>
      <c r="W2" s="2" t="n"/>
      <c r="X2" s="2" t="n"/>
    </row>
    <row r="3" ht="18.6" customHeight="1" s="69">
      <c r="A3" s="46" t="n"/>
      <c r="B3" s="46" t="n"/>
      <c r="C3" s="46" t="n"/>
      <c r="D3" s="51" t="n"/>
      <c r="E3" s="56" t="inlineStr">
        <is>
          <t>Qty</t>
        </is>
      </c>
      <c r="F3" s="41" t="inlineStr">
        <is>
          <t>Amount</t>
        </is>
      </c>
      <c r="G3" s="56" t="inlineStr">
        <is>
          <t>Qty</t>
        </is>
      </c>
      <c r="H3" s="41" t="inlineStr">
        <is>
          <t>Amount</t>
        </is>
      </c>
      <c r="I3" s="56" t="inlineStr">
        <is>
          <t>Qty</t>
        </is>
      </c>
      <c r="J3" s="41" t="inlineStr">
        <is>
          <t>Amount</t>
        </is>
      </c>
      <c r="K3" s="56" t="inlineStr">
        <is>
          <t>Qty</t>
        </is>
      </c>
      <c r="L3" s="41" t="inlineStr">
        <is>
          <t>Amount</t>
        </is>
      </c>
      <c r="M3" s="56" t="inlineStr">
        <is>
          <t>Qty</t>
        </is>
      </c>
      <c r="N3" s="41" t="inlineStr">
        <is>
          <t>Amount</t>
        </is>
      </c>
      <c r="O3" s="56" t="inlineStr">
        <is>
          <t>Qty</t>
        </is>
      </c>
      <c r="P3" s="41" t="inlineStr">
        <is>
          <t>Amount</t>
        </is>
      </c>
      <c r="Q3" s="56" t="inlineStr">
        <is>
          <t>Qty</t>
        </is>
      </c>
      <c r="R3" s="41" t="inlineStr">
        <is>
          <t>Amount</t>
        </is>
      </c>
      <c r="S3" s="56" t="inlineStr">
        <is>
          <t>Qty</t>
        </is>
      </c>
      <c r="T3" s="41" t="inlineStr">
        <is>
          <t>Amount</t>
        </is>
      </c>
      <c r="U3" s="46" t="n"/>
      <c r="W3" s="2" t="inlineStr">
        <is>
          <t>diesal</t>
        </is>
      </c>
      <c r="X3" s="2">
        <f>+SUMIFS(C15:C25,B15:B25,W3)</f>
        <v/>
      </c>
    </row>
    <row r="4" customFormat="1" s="2">
      <c r="A4" s="3" t="inlineStr">
        <is>
          <t>Petrol</t>
        </is>
      </c>
      <c r="B4" s="12">
        <f>+(H13+H14+H15)/$C$4</f>
        <v/>
      </c>
      <c r="C4" s="4" t="n">
        <v>104.71</v>
      </c>
      <c r="D4" s="5">
        <f>B4*C4</f>
        <v/>
      </c>
      <c r="E4" s="6" t="n">
        <v>0</v>
      </c>
      <c r="F4" s="7">
        <f>+E4*C4</f>
        <v/>
      </c>
      <c r="G4" s="9">
        <f>+(H8*60%)/$C$4</f>
        <v/>
      </c>
      <c r="H4" s="7">
        <f>+G4*C4</f>
        <v/>
      </c>
      <c r="I4" s="6">
        <f>J4/C4</f>
        <v/>
      </c>
      <c r="J4" s="7" t="n">
        <v>0</v>
      </c>
      <c r="K4" s="8">
        <f>+L8/$C$4</f>
        <v/>
      </c>
      <c r="L4" s="7">
        <f>+K4*C4</f>
        <v/>
      </c>
      <c r="M4" s="9">
        <f>+(N8*60%)/$C$4</f>
        <v/>
      </c>
      <c r="N4" s="7">
        <f>+M4*C4</f>
        <v/>
      </c>
      <c r="O4" s="9" t="n"/>
      <c r="P4" s="7">
        <f>+O4*C4</f>
        <v/>
      </c>
      <c r="Q4" s="6" t="n">
        <v>766.1163976697547</v>
      </c>
      <c r="R4" s="7">
        <f>+Q4*C4</f>
        <v/>
      </c>
      <c r="S4" s="10">
        <f>+X4</f>
        <v/>
      </c>
      <c r="T4" s="7">
        <f>+S4*C4</f>
        <v/>
      </c>
      <c r="U4" s="11">
        <f>+B4-E4-G4-Q4-S4-K4-I4-M4-O4</f>
        <v/>
      </c>
      <c r="W4" t="inlineStr">
        <is>
          <t>petrol</t>
        </is>
      </c>
      <c r="X4" s="2">
        <f>+SUMIFS(C15:C26,B15:B26,W4)</f>
        <v/>
      </c>
    </row>
    <row r="5" customFormat="1" s="2">
      <c r="A5" s="3" t="inlineStr">
        <is>
          <t>Diesal</t>
        </is>
      </c>
      <c r="B5" s="12">
        <f>+(I13+I14+I15)/$C$5</f>
        <v/>
      </c>
      <c r="C5" s="4" t="n">
        <v>90.20999999999999</v>
      </c>
      <c r="D5" s="5">
        <f>B5*C5</f>
        <v/>
      </c>
      <c r="E5" s="6" t="n">
        <v>0</v>
      </c>
      <c r="F5" s="7">
        <f>+E5*C5</f>
        <v/>
      </c>
      <c r="G5" s="6">
        <f>+(H8*40%)/$C$5</f>
        <v/>
      </c>
      <c r="H5" s="7">
        <f>+G5*C5</f>
        <v/>
      </c>
      <c r="I5" s="6">
        <f>+J8/C5</f>
        <v/>
      </c>
      <c r="J5" s="7">
        <f>+I5*C5</f>
        <v/>
      </c>
      <c r="K5" s="6" t="n">
        <v>0</v>
      </c>
      <c r="L5" s="7">
        <f>+K5*C5</f>
        <v/>
      </c>
      <c r="M5" s="6">
        <f>+(N8*40%)/$C$5</f>
        <v/>
      </c>
      <c r="N5" s="7">
        <f>+M5*C5</f>
        <v/>
      </c>
      <c r="O5" s="9">
        <f>+P8/C5</f>
        <v/>
      </c>
      <c r="P5" s="7">
        <f>+O5*C5</f>
        <v/>
      </c>
      <c r="Q5" s="6" t="n">
        <v>392.9423788936925</v>
      </c>
      <c r="R5" s="7">
        <f>+Q5*C5</f>
        <v/>
      </c>
      <c r="S5" s="10">
        <f>+X3</f>
        <v/>
      </c>
      <c r="T5" s="7">
        <f>+S5*C5</f>
        <v/>
      </c>
      <c r="U5" s="11">
        <f>+B5-E5-G5-Q5-S5-K5-I5-M5-O5</f>
        <v/>
      </c>
      <c r="W5" t="inlineStr">
        <is>
          <t>Petrol Power</t>
        </is>
      </c>
      <c r="X5" s="2">
        <f>+SUMIFS(C17:C27,B17:B27,W5)</f>
        <v/>
      </c>
    </row>
    <row r="6" customFormat="1" s="2">
      <c r="A6" s="3" t="inlineStr">
        <is>
          <t>Petrol Power</t>
        </is>
      </c>
      <c r="B6" s="12">
        <f>+(J13+J14+J15)/$C$6</f>
        <v/>
      </c>
      <c r="C6" s="4" t="n">
        <v>112.8</v>
      </c>
      <c r="D6" s="5">
        <f>B6*C6</f>
        <v/>
      </c>
      <c r="E6" s="6" t="n">
        <v>0</v>
      </c>
      <c r="F6" s="7">
        <f>+E6*C6</f>
        <v/>
      </c>
      <c r="G6" s="6" t="n"/>
      <c r="H6" s="7">
        <f>+G6*C6</f>
        <v/>
      </c>
      <c r="I6" s="6" t="n">
        <v>0</v>
      </c>
      <c r="J6" s="7">
        <f>+I6*C6</f>
        <v/>
      </c>
      <c r="K6" s="6" t="n">
        <v>0</v>
      </c>
      <c r="L6" s="7">
        <f>+K6*C6</f>
        <v/>
      </c>
      <c r="M6" s="9" t="n">
        <v>0</v>
      </c>
      <c r="N6" s="7">
        <f>+M6*C6</f>
        <v/>
      </c>
      <c r="O6" s="9" t="n"/>
      <c r="P6" s="7">
        <f>+O6*C6</f>
        <v/>
      </c>
      <c r="Q6" s="6" t="n">
        <v>68.20921985815603</v>
      </c>
      <c r="R6" s="7">
        <f>+Q6*C6</f>
        <v/>
      </c>
      <c r="S6" s="10">
        <f>+X5</f>
        <v/>
      </c>
      <c r="T6" s="7">
        <f>+S6*C6</f>
        <v/>
      </c>
      <c r="U6" s="11">
        <f>+B6-E6-G6-Q6-S6-K6-I6-M6-O6</f>
        <v/>
      </c>
    </row>
    <row r="7" customFormat="1" s="2">
      <c r="A7" s="3" t="n"/>
      <c r="B7" s="38">
        <f>SUM(B4:B6)</f>
        <v/>
      </c>
      <c r="C7" s="3" t="n"/>
      <c r="D7" s="13">
        <f>SUM(D4:D6)</f>
        <v/>
      </c>
      <c r="E7" s="14">
        <f>SUM(E4:E6)</f>
        <v/>
      </c>
      <c r="F7" s="15">
        <f>SUM(F4:F6)</f>
        <v/>
      </c>
      <c r="G7" s="14">
        <f>SUM(G4:G6)</f>
        <v/>
      </c>
      <c r="H7" s="15">
        <f>SUM(H4:H6)</f>
        <v/>
      </c>
      <c r="I7" s="14">
        <f>SUM(I4:I6)</f>
        <v/>
      </c>
      <c r="J7" s="15">
        <f>SUM(J4:J6)</f>
        <v/>
      </c>
      <c r="K7" s="14">
        <f>SUM(K4:K6)</f>
        <v/>
      </c>
      <c r="L7" s="15">
        <f>SUM(L4:L6)</f>
        <v/>
      </c>
      <c r="M7" s="14">
        <f>SUM(M4:M6)</f>
        <v/>
      </c>
      <c r="N7" s="15">
        <f>SUM(N4:N6)</f>
        <v/>
      </c>
      <c r="O7" s="14">
        <f>SUM(O4:O6)</f>
        <v/>
      </c>
      <c r="P7" s="15">
        <f>SUM(P4:P6)</f>
        <v/>
      </c>
      <c r="Q7" s="14">
        <f>SUM(Q4:Q6)</f>
        <v/>
      </c>
      <c r="R7" s="15">
        <f>SUM(R4:R6)</f>
        <v/>
      </c>
      <c r="S7" s="14">
        <f>SUM(S4:S6)</f>
        <v/>
      </c>
      <c r="T7" s="15">
        <f>SUM(T4:T6)</f>
        <v/>
      </c>
      <c r="U7" s="11">
        <f>+B7-E7-G7-Q7-S7-K7-I7-M7-O7</f>
        <v/>
      </c>
    </row>
    <row r="8" ht="15" customFormat="1" customHeight="1" s="2" thickBot="1">
      <c r="A8" s="52" t="inlineStr">
        <is>
          <t>Actual Amount</t>
        </is>
      </c>
      <c r="B8" s="53" t="n"/>
      <c r="C8" s="16" t="n"/>
      <c r="D8" s="17" t="n"/>
      <c r="E8" s="18" t="n"/>
      <c r="F8" s="19" t="n">
        <v>0</v>
      </c>
      <c r="G8" s="18" t="n"/>
      <c r="H8" s="19" t="n">
        <v>49548.21</v>
      </c>
      <c r="I8" s="18" t="n"/>
      <c r="J8" s="19" t="n">
        <v>4836</v>
      </c>
      <c r="K8" s="18" t="n"/>
      <c r="L8" s="19" t="n">
        <v>4328.84</v>
      </c>
      <c r="M8" s="20" t="n"/>
      <c r="N8" s="19" t="n">
        <v>106075.31</v>
      </c>
      <c r="O8" s="20" t="inlineStr"/>
      <c r="P8" s="19" t="n">
        <v>0</v>
      </c>
      <c r="Q8" s="18" t="n">
        <v>0</v>
      </c>
      <c r="R8" s="19" t="n">
        <v>108777</v>
      </c>
      <c r="S8" s="18" t="n"/>
      <c r="T8" s="19" t="n">
        <v>75730.17999999999</v>
      </c>
      <c r="U8" s="17" t="n"/>
    </row>
    <row r="9" ht="15.6" customHeight="1" s="69" thickBot="1" thickTop="1">
      <c r="A9" s="48" t="inlineStr">
        <is>
          <t>Diffrence should be zero</t>
        </is>
      </c>
      <c r="B9" s="49" t="n"/>
      <c r="C9" s="49" t="n"/>
      <c r="D9" s="21" t="n"/>
      <c r="E9" s="21" t="n"/>
      <c r="F9" s="22">
        <f>+F7-F8</f>
        <v/>
      </c>
      <c r="G9" s="21" t="n"/>
      <c r="H9" s="22">
        <f>+H7-H8</f>
        <v/>
      </c>
      <c r="I9" s="21" t="n"/>
      <c r="J9" s="22">
        <f>+J7-J8</f>
        <v/>
      </c>
      <c r="K9" s="21" t="n"/>
      <c r="L9" s="22">
        <f>+L7-L8</f>
        <v/>
      </c>
      <c r="M9" s="22" t="n"/>
      <c r="N9" s="22">
        <f>+N7-N8</f>
        <v/>
      </c>
      <c r="O9" s="22" t="n"/>
      <c r="P9" s="22">
        <f>+P7-P8</f>
        <v/>
      </c>
      <c r="Q9" s="21" t="n"/>
      <c r="R9" s="22">
        <f>+R7-R8</f>
        <v/>
      </c>
      <c r="S9" s="21" t="n"/>
      <c r="T9" s="22">
        <f>+T7-T8</f>
        <v/>
      </c>
      <c r="U9" s="23" t="n"/>
    </row>
    <row r="10" ht="15" customHeight="1" s="69" thickTop="1">
      <c r="A10" s="24" t="n"/>
      <c r="B10" s="24" t="n">
        <v>0</v>
      </c>
      <c r="C10" s="24" t="n"/>
      <c r="D10" s="2" t="n"/>
      <c r="E10" s="2" t="n"/>
      <c r="F10" s="25" t="n"/>
      <c r="G10" s="2" t="n"/>
      <c r="H10" s="25" t="n"/>
      <c r="I10" s="2" t="n"/>
      <c r="J10" s="25" t="n"/>
      <c r="K10" s="2" t="n"/>
      <c r="L10" s="6" t="n"/>
      <c r="M10" s="2" t="n"/>
      <c r="N10" s="25" t="n"/>
      <c r="O10" s="25" t="n"/>
      <c r="P10" s="25" t="n"/>
      <c r="Q10" s="25" t="n"/>
      <c r="R10" s="25" t="n"/>
      <c r="S10" s="2" t="n"/>
      <c r="T10" s="25" t="n"/>
      <c r="U10" s="2" t="n"/>
    </row>
    <row r="11">
      <c r="A11" s="26" t="inlineStr">
        <is>
          <t>sales value diff</t>
        </is>
      </c>
      <c r="D11" s="27">
        <f>+D7-F8-H8-L8-J8-R8-T8-N8-P8</f>
        <v/>
      </c>
      <c r="F11" s="72" t="n"/>
      <c r="M11" s="72" t="n"/>
    </row>
    <row r="12">
      <c r="F12" s="72" t="n"/>
      <c r="G12" s="72" t="n"/>
      <c r="H12" s="29" t="inlineStr">
        <is>
          <t>Petrol</t>
        </is>
      </c>
      <c r="I12" s="29" t="inlineStr">
        <is>
          <t>Diesal</t>
        </is>
      </c>
      <c r="J12" s="29" t="inlineStr">
        <is>
          <t>Power</t>
        </is>
      </c>
    </row>
    <row r="13">
      <c r="A13" s="58" t="inlineStr">
        <is>
          <t>CREDIT DETAIL</t>
        </is>
      </c>
      <c r="B13" s="59" t="n"/>
      <c r="C13" s="59" t="n"/>
      <c r="D13" s="59" t="n"/>
      <c r="E13" s="59" t="n"/>
      <c r="F13" s="57" t="n"/>
      <c r="H13" s="79" t="n">
        <v>76123</v>
      </c>
      <c r="I13" s="80" t="n">
        <v>48034</v>
      </c>
      <c r="J13" s="79" t="n">
        <v>7694</v>
      </c>
    </row>
    <row r="14">
      <c r="A14" s="29" t="inlineStr">
        <is>
          <t>particular</t>
        </is>
      </c>
      <c r="B14" s="29" t="inlineStr">
        <is>
          <t xml:space="preserve">Type </t>
        </is>
      </c>
      <c r="C14" s="31" t="inlineStr">
        <is>
          <t>QTY</t>
        </is>
      </c>
      <c r="D14" s="31" t="inlineStr">
        <is>
          <t>RATE</t>
        </is>
      </c>
      <c r="E14" s="31" t="inlineStr">
        <is>
          <t>AMOUNT</t>
        </is>
      </c>
      <c r="F14" s="32" t="inlineStr">
        <is>
          <t>inv no</t>
        </is>
      </c>
      <c r="H14" s="79" t="n">
        <v>101800</v>
      </c>
      <c r="I14" s="80" t="n">
        <v>90951</v>
      </c>
      <c r="J14" s="79" t="n"/>
      <c r="K14" s="74" t="n"/>
      <c r="L14" s="74" t="n"/>
      <c r="M14" s="74" t="n"/>
    </row>
    <row r="15">
      <c r="A15" s="33" t="inlineStr">
        <is>
          <t>mool Chand yadav</t>
        </is>
      </c>
      <c r="B15" s="34" t="inlineStr">
        <is>
          <t>diesal</t>
        </is>
      </c>
      <c r="C15" s="29">
        <f>+E15/D15</f>
        <v/>
      </c>
      <c r="D15" s="79">
        <f>+VLOOKUP(B15,A$4:C$6,3,0)</f>
        <v/>
      </c>
      <c r="E15" s="81" t="n">
        <v>14485.91</v>
      </c>
      <c r="F15" s="34" t="n">
        <v>21424</v>
      </c>
      <c r="H15" s="80" t="n"/>
      <c r="I15" s="80" t="n">
        <v>32694</v>
      </c>
      <c r="J15" s="80" t="n"/>
      <c r="K15" s="72" t="n"/>
    </row>
    <row r="16">
      <c r="A16" s="33" t="inlineStr">
        <is>
          <t>mool Chand yadav</t>
        </is>
      </c>
      <c r="B16" s="34" t="inlineStr">
        <is>
          <t>diesal</t>
        </is>
      </c>
      <c r="C16" s="29">
        <f>+E16/D16</f>
        <v/>
      </c>
      <c r="D16" s="79">
        <f>+VLOOKUP(B16,A$4:C$6,3,0)</f>
        <v/>
      </c>
      <c r="E16" s="81" t="n">
        <v>3550</v>
      </c>
      <c r="F16" s="34" t="n">
        <v>21429</v>
      </c>
      <c r="H16" s="79">
        <f>+H24/C4</f>
        <v/>
      </c>
      <c r="I16" s="43">
        <f>+I24/C5</f>
        <v/>
      </c>
      <c r="J16" s="43">
        <f>+J24/C6</f>
        <v/>
      </c>
      <c r="K16" s="72" t="n"/>
      <c r="M16" s="72" t="n"/>
    </row>
    <row r="17">
      <c r="A17" s="33" t="inlineStr">
        <is>
          <t>RAR Trading Enterprises Pvt Ltd</t>
        </is>
      </c>
      <c r="B17" s="34" t="inlineStr">
        <is>
          <t>diesal</t>
        </is>
      </c>
      <c r="C17" s="29">
        <f>+E17/D17</f>
        <v/>
      </c>
      <c r="D17" s="79">
        <f>+VLOOKUP(B17,A$4:C$6,3,0)</f>
        <v/>
      </c>
      <c r="E17" s="82" t="n">
        <v>22552.58</v>
      </c>
      <c r="F17" s="34" t="n">
        <v>21425</v>
      </c>
      <c r="H17" s="72" t="n"/>
      <c r="K17" s="72" t="n"/>
    </row>
    <row r="18">
      <c r="A18" s="33" t="inlineStr">
        <is>
          <t>Sita Devi</t>
        </is>
      </c>
      <c r="B18" s="34" t="inlineStr">
        <is>
          <t>diesal</t>
        </is>
      </c>
      <c r="C18" s="29">
        <f>+E18/D18</f>
        <v/>
      </c>
      <c r="D18" s="79">
        <f>+VLOOKUP(B18,A$4:C$6,3,0)</f>
        <v/>
      </c>
      <c r="E18" s="82" t="n">
        <v>3140.21</v>
      </c>
      <c r="F18" s="34" t="n">
        <v>21421</v>
      </c>
    </row>
    <row r="19">
      <c r="A19" s="33" t="inlineStr">
        <is>
          <t>Sita Devi</t>
        </is>
      </c>
      <c r="B19" s="34" t="inlineStr">
        <is>
          <t>diesal</t>
        </is>
      </c>
      <c r="C19" s="29">
        <f>+E19/D19</f>
        <v/>
      </c>
      <c r="D19" s="79">
        <f>+VLOOKUP(B19,A$4:C$6,3,0)</f>
        <v/>
      </c>
      <c r="E19" s="82" t="n">
        <v>23504.21</v>
      </c>
      <c r="F19" s="39" t="n">
        <v>21428</v>
      </c>
      <c r="K19" s="72" t="n"/>
      <c r="M19" s="72" t="n"/>
    </row>
    <row r="20">
      <c r="A20" s="33" t="inlineStr">
        <is>
          <t>Shyam Tran.</t>
        </is>
      </c>
      <c r="B20" s="34" t="inlineStr">
        <is>
          <t>diesal</t>
        </is>
      </c>
      <c r="C20" s="29">
        <f>+E20/D20</f>
        <v/>
      </c>
      <c r="D20" s="79">
        <f>+VLOOKUP(B20,A$4:C$6,3,0)</f>
        <v/>
      </c>
      <c r="E20" s="82" t="n">
        <v>1913.35</v>
      </c>
      <c r="F20" s="79" t="n">
        <v>21430</v>
      </c>
      <c r="K20" s="72" t="n"/>
    </row>
    <row r="21">
      <c r="A21" s="33" t="n"/>
      <c r="B21" s="34" t="inlineStr">
        <is>
          <t>diesal</t>
        </is>
      </c>
      <c r="C21" s="29">
        <f>+E21/D21</f>
        <v/>
      </c>
      <c r="D21" s="79">
        <f>+VLOOKUP(B21,A$4:C$6,3,0)</f>
        <v/>
      </c>
      <c r="E21" s="82" t="n"/>
      <c r="F21" s="35" t="n"/>
      <c r="H21" s="71" t="n"/>
      <c r="K21" s="72" t="n"/>
      <c r="M21" s="72" t="n"/>
    </row>
    <row r="22">
      <c r="A22" s="33" t="n"/>
      <c r="B22" s="34" t="inlineStr">
        <is>
          <t>diesal</t>
        </is>
      </c>
      <c r="C22" s="29">
        <f>+E22/D22</f>
        <v/>
      </c>
      <c r="D22" s="79">
        <f>+VLOOKUP(B22,A$4:C$6,3,0)</f>
        <v/>
      </c>
      <c r="E22" s="82" t="n"/>
      <c r="F22" s="79" t="n"/>
    </row>
    <row r="23">
      <c r="A23" s="34" t="n"/>
      <c r="B23" s="34" t="inlineStr">
        <is>
          <t>diesal</t>
        </is>
      </c>
      <c r="C23" s="29">
        <f>+E23/D23</f>
        <v/>
      </c>
      <c r="D23" s="79">
        <f>+VLOOKUP(B23,A$4:C$6,3,0)</f>
        <v/>
      </c>
      <c r="E23" s="82" t="n"/>
      <c r="F23" s="79" t="n"/>
    </row>
    <row r="24">
      <c r="A24" s="34" t="n"/>
      <c r="B24" s="34" t="inlineStr">
        <is>
          <t>diesal</t>
        </is>
      </c>
      <c r="C24" s="29">
        <f>+E24/D24</f>
        <v/>
      </c>
      <c r="D24" s="79">
        <f>+VLOOKUP(B24,A$4:C$6,3,0)</f>
        <v/>
      </c>
      <c r="E24" s="29" t="n"/>
      <c r="F24" s="79" t="n"/>
      <c r="H24" s="72" t="n"/>
      <c r="I24" s="72" t="n"/>
      <c r="J24" s="72" t="n"/>
    </row>
    <row r="25">
      <c r="A25" s="34" t="n"/>
      <c r="B25" s="34" t="inlineStr">
        <is>
          <t>diesal</t>
        </is>
      </c>
      <c r="C25" s="29">
        <f>+E25/D25</f>
        <v/>
      </c>
      <c r="D25" s="79">
        <f>+VLOOKUP(B25,A$4:C$6,3,0)</f>
        <v/>
      </c>
      <c r="E25" s="29" t="n"/>
      <c r="F25" s="79" t="n"/>
      <c r="H25" s="72" t="n"/>
    </row>
    <row r="26">
      <c r="A26" s="79" t="n"/>
      <c r="B26" s="79" t="n"/>
      <c r="C26" s="29">
        <f>SUM(C15:C25)</f>
        <v/>
      </c>
      <c r="D26" s="29" t="n"/>
      <c r="E26" s="29">
        <f>SUM(E15:E25)</f>
        <v/>
      </c>
      <c r="F26" s="79" t="n"/>
    </row>
    <row r="50">
      <c r="E50" t="n">
        <v>9</v>
      </c>
    </row>
  </sheetData>
  <mergeCells count="16">
    <mergeCell ref="O2:P2"/>
    <mergeCell ref="M2:N2"/>
    <mergeCell ref="S2:T2"/>
    <mergeCell ref="Q2:R2"/>
    <mergeCell ref="A13:F13"/>
    <mergeCell ref="G2:H2"/>
    <mergeCell ref="E2:F2"/>
    <mergeCell ref="K2:L2"/>
    <mergeCell ref="I2:J2"/>
    <mergeCell ref="U2:U3"/>
    <mergeCell ref="C2:C3"/>
    <mergeCell ref="A9:C9"/>
    <mergeCell ref="B2:B3"/>
    <mergeCell ref="A2:A3"/>
    <mergeCell ref="D2:D3"/>
    <mergeCell ref="A8:B8"/>
  </mergeCell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X50"/>
  <sheetViews>
    <sheetView workbookViewId="0">
      <selection activeCell="A1" sqref="A1"/>
    </sheetView>
  </sheetViews>
  <sheetFormatPr baseColWidth="8" defaultColWidth="9.109375" defaultRowHeight="14.4"/>
  <cols>
    <col width="13.109375" customWidth="1" style="69" min="1" max="1"/>
    <col width="12" customWidth="1" style="69" min="2" max="2"/>
    <col width="12" customWidth="1" style="69" min="4" max="4"/>
    <col width="13.109375" customWidth="1" style="69" min="5" max="5"/>
    <col width="14" customWidth="1" style="69" min="6" max="6"/>
    <col width="10.109375" customWidth="1" style="69" min="7" max="7"/>
    <col width="10.6640625" customWidth="1" style="69" min="8" max="8"/>
    <col width="9.5546875" customWidth="1" style="69" min="9" max="9"/>
    <col width="10.6640625" customWidth="1" style="69" min="10" max="14"/>
    <col width="13.44140625" customWidth="1" style="69" min="15" max="15"/>
    <col width="11.88671875" customWidth="1" style="69" min="16" max="16"/>
    <col width="10.6640625" customWidth="1" style="69" min="18" max="18"/>
    <col width="9.5546875" customWidth="1" style="69" min="19" max="19"/>
    <col width="10.6640625" customWidth="1" style="69" min="20" max="20"/>
    <col width="9.6640625" customWidth="1" style="69" min="21" max="21"/>
    <col width="12.5546875" customWidth="1" style="69" min="23" max="23"/>
    <col width="12" customWidth="1" style="69" min="24" max="24"/>
  </cols>
  <sheetData>
    <row r="1" ht="18.6" customHeight="1" s="69"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</row>
    <row r="2" ht="18.6" customHeight="1" s="69">
      <c r="A2" s="47" t="inlineStr">
        <is>
          <t>Particular</t>
        </is>
      </c>
      <c r="B2" s="47" t="inlineStr">
        <is>
          <t>Qty</t>
        </is>
      </c>
      <c r="C2" s="47" t="inlineStr">
        <is>
          <t>Rate</t>
        </is>
      </c>
      <c r="D2" s="50" t="inlineStr">
        <is>
          <t>Amount</t>
        </is>
      </c>
      <c r="E2" s="56" t="inlineStr">
        <is>
          <t>Pos SBI</t>
        </is>
      </c>
      <c r="F2" s="57" t="n"/>
      <c r="G2" s="56" t="inlineStr">
        <is>
          <t>Paytm</t>
        </is>
      </c>
      <c r="H2" s="57" t="n"/>
      <c r="I2" s="56" t="inlineStr">
        <is>
          <t>HP Card</t>
        </is>
      </c>
      <c r="J2" s="57" t="n"/>
      <c r="K2" s="56" t="inlineStr">
        <is>
          <t>ICICI</t>
        </is>
      </c>
      <c r="L2" s="57" t="n"/>
      <c r="M2" s="56" t="inlineStr">
        <is>
          <t>phone pe</t>
        </is>
      </c>
      <c r="N2" s="57" t="n"/>
      <c r="O2" s="54" t="inlineStr">
        <is>
          <t>mobiquick</t>
        </is>
      </c>
      <c r="P2" s="55" t="n"/>
      <c r="Q2" s="56" t="inlineStr">
        <is>
          <t xml:space="preserve">CASH </t>
        </is>
      </c>
      <c r="R2" s="57" t="n"/>
      <c r="S2" s="56" t="inlineStr">
        <is>
          <t>Credit</t>
        </is>
      </c>
      <c r="T2" s="57" t="n"/>
      <c r="U2" s="45" t="inlineStr">
        <is>
          <t>Qty Diffrence</t>
        </is>
      </c>
      <c r="W2" s="2" t="n"/>
      <c r="X2" s="2" t="n"/>
    </row>
    <row r="3" ht="18.6" customHeight="1" s="69">
      <c r="A3" s="46" t="n"/>
      <c r="B3" s="46" t="n"/>
      <c r="C3" s="46" t="n"/>
      <c r="D3" s="51" t="n"/>
      <c r="E3" s="56" t="inlineStr">
        <is>
          <t>Qty</t>
        </is>
      </c>
      <c r="F3" s="41" t="inlineStr">
        <is>
          <t>Amount</t>
        </is>
      </c>
      <c r="G3" s="56" t="inlineStr">
        <is>
          <t>Qty</t>
        </is>
      </c>
      <c r="H3" s="41" t="inlineStr">
        <is>
          <t>Amount</t>
        </is>
      </c>
      <c r="I3" s="56" t="inlineStr">
        <is>
          <t>Qty</t>
        </is>
      </c>
      <c r="J3" s="41" t="inlineStr">
        <is>
          <t>Amount</t>
        </is>
      </c>
      <c r="K3" s="56" t="inlineStr">
        <is>
          <t>Qty</t>
        </is>
      </c>
      <c r="L3" s="41" t="inlineStr">
        <is>
          <t>Amount</t>
        </is>
      </c>
      <c r="M3" s="56" t="inlineStr">
        <is>
          <t>Qty</t>
        </is>
      </c>
      <c r="N3" s="41" t="inlineStr">
        <is>
          <t>Amount</t>
        </is>
      </c>
      <c r="O3" s="56" t="inlineStr">
        <is>
          <t>Qty</t>
        </is>
      </c>
      <c r="P3" s="41" t="inlineStr">
        <is>
          <t>Amount</t>
        </is>
      </c>
      <c r="Q3" s="56" t="inlineStr">
        <is>
          <t>Qty</t>
        </is>
      </c>
      <c r="R3" s="41" t="inlineStr">
        <is>
          <t>Amount</t>
        </is>
      </c>
      <c r="S3" s="56" t="inlineStr">
        <is>
          <t>Qty</t>
        </is>
      </c>
      <c r="T3" s="41" t="inlineStr">
        <is>
          <t>Amount</t>
        </is>
      </c>
      <c r="U3" s="46" t="n"/>
      <c r="W3" s="2" t="inlineStr">
        <is>
          <t>diesal</t>
        </is>
      </c>
      <c r="X3" s="2">
        <f>+SUMIFS(C15:C25,B15:B25,W3)</f>
        <v/>
      </c>
    </row>
    <row r="4" customFormat="1" s="2">
      <c r="A4" s="3" t="inlineStr">
        <is>
          <t>Petrol</t>
        </is>
      </c>
      <c r="B4" s="12">
        <f>+(H13+H14+H15)/$C$4</f>
        <v/>
      </c>
      <c r="C4" s="4" t="n">
        <v>104.71</v>
      </c>
      <c r="D4" s="5">
        <f>B4*C4</f>
        <v/>
      </c>
      <c r="E4" s="6" t="n">
        <v>0</v>
      </c>
      <c r="F4" s="7">
        <f>+E4*C4</f>
        <v/>
      </c>
      <c r="G4" s="9">
        <f>+(H8*60%)/$C$4</f>
        <v/>
      </c>
      <c r="H4" s="7">
        <f>+G4*C4</f>
        <v/>
      </c>
      <c r="I4" s="6">
        <f>J4/C4</f>
        <v/>
      </c>
      <c r="J4" s="7" t="n">
        <v>0</v>
      </c>
      <c r="K4" s="8">
        <f>+L8/$C$4</f>
        <v/>
      </c>
      <c r="L4" s="7">
        <f>+K4*C4</f>
        <v/>
      </c>
      <c r="M4" s="9">
        <f>+(N8*60%)/$C$4</f>
        <v/>
      </c>
      <c r="N4" s="7">
        <f>+M4*C4</f>
        <v/>
      </c>
      <c r="O4" s="9" t="n"/>
      <c r="P4" s="7">
        <f>+O4*C4</f>
        <v/>
      </c>
      <c r="Q4" s="6" t="n">
        <v>828.7595454111357</v>
      </c>
      <c r="R4" s="7">
        <f>+Q4*C4</f>
        <v/>
      </c>
      <c r="S4" s="10">
        <f>+X4</f>
        <v/>
      </c>
      <c r="T4" s="7">
        <f>+S4*C4</f>
        <v/>
      </c>
      <c r="U4" s="11">
        <f>+B4-E4-G4-Q4-S4-K4-I4-M4-O4</f>
        <v/>
      </c>
      <c r="W4" t="inlineStr">
        <is>
          <t>petrol</t>
        </is>
      </c>
      <c r="X4" s="2">
        <f>+SUMIFS(C15:C26,B15:B26,W4)</f>
        <v/>
      </c>
    </row>
    <row r="5" customFormat="1" s="2">
      <c r="A5" s="3" t="inlineStr">
        <is>
          <t>Diesal</t>
        </is>
      </c>
      <c r="B5" s="12">
        <f>+(I13+I14+I15)/$C$5</f>
        <v/>
      </c>
      <c r="C5" s="4" t="n">
        <v>90.20999999999999</v>
      </c>
      <c r="D5" s="5">
        <f>B5*C5</f>
        <v/>
      </c>
      <c r="E5" s="6" t="n">
        <v>0</v>
      </c>
      <c r="F5" s="7">
        <f>+E5*C5</f>
        <v/>
      </c>
      <c r="G5" s="6">
        <f>+(H8*40%)/$C$5</f>
        <v/>
      </c>
      <c r="H5" s="7">
        <f>+G5*C5</f>
        <v/>
      </c>
      <c r="I5" s="6">
        <f>+J8/C5</f>
        <v/>
      </c>
      <c r="J5" s="7">
        <f>+I5*C5</f>
        <v/>
      </c>
      <c r="K5" s="6" t="n">
        <v>0</v>
      </c>
      <c r="L5" s="7">
        <f>+K5*C5</f>
        <v/>
      </c>
      <c r="M5" s="6">
        <f>+(N8*40%)/$C$5</f>
        <v/>
      </c>
      <c r="N5" s="7">
        <f>+M5*C5</f>
        <v/>
      </c>
      <c r="O5" s="9">
        <f>+P8/C5</f>
        <v/>
      </c>
      <c r="P5" s="7">
        <f>+O5*C5</f>
        <v/>
      </c>
      <c r="Q5" s="6" t="n">
        <v>683.771289214056</v>
      </c>
      <c r="R5" s="7">
        <f>+Q5*C5</f>
        <v/>
      </c>
      <c r="S5" s="10">
        <f>+X3</f>
        <v/>
      </c>
      <c r="T5" s="7">
        <f>+S5*C5</f>
        <v/>
      </c>
      <c r="U5" s="11">
        <f>+B5-E5-G5-Q5-S5-K5-I5-M5-O5</f>
        <v/>
      </c>
      <c r="W5" t="inlineStr">
        <is>
          <t>Petrol Power</t>
        </is>
      </c>
      <c r="X5" s="2">
        <f>+SUMIFS(C17:C27,B17:B27,W5)</f>
        <v/>
      </c>
    </row>
    <row r="6" customFormat="1" s="2">
      <c r="A6" s="3" t="inlineStr">
        <is>
          <t>Petrol Power</t>
        </is>
      </c>
      <c r="B6" s="12">
        <f>+(J13+J14+J15)/$C$6</f>
        <v/>
      </c>
      <c r="C6" s="4" t="n">
        <v>112.8</v>
      </c>
      <c r="D6" s="5">
        <f>B6*C6</f>
        <v/>
      </c>
      <c r="E6" s="6" t="n">
        <v>0</v>
      </c>
      <c r="F6" s="7">
        <f>+E6*C6</f>
        <v/>
      </c>
      <c r="G6" s="6" t="n"/>
      <c r="H6" s="7">
        <f>+G6*C6</f>
        <v/>
      </c>
      <c r="I6" s="6" t="n">
        <v>0</v>
      </c>
      <c r="J6" s="7">
        <f>+I6*C6</f>
        <v/>
      </c>
      <c r="K6" s="6" t="n">
        <v>0</v>
      </c>
      <c r="L6" s="7">
        <f>+K6*C6</f>
        <v/>
      </c>
      <c r="M6" s="9" t="n">
        <v>0</v>
      </c>
      <c r="N6" s="7">
        <f>+M6*C6</f>
        <v/>
      </c>
      <c r="O6" s="9" t="n"/>
      <c r="P6" s="7">
        <f>+O6*C6</f>
        <v/>
      </c>
      <c r="Q6" s="6" t="n">
        <v>27.59751773049646</v>
      </c>
      <c r="R6" s="7">
        <f>+Q6*C6</f>
        <v/>
      </c>
      <c r="S6" s="10">
        <f>+X5</f>
        <v/>
      </c>
      <c r="T6" s="7">
        <f>+S6*C6</f>
        <v/>
      </c>
      <c r="U6" s="11">
        <f>+B6-E6-G6-Q6-S6-K6-I6-M6-O6</f>
        <v/>
      </c>
    </row>
    <row r="7" customFormat="1" s="2">
      <c r="A7" s="3" t="n"/>
      <c r="B7" s="38">
        <f>SUM(B4:B6)</f>
        <v/>
      </c>
      <c r="C7" s="3" t="n"/>
      <c r="D7" s="13">
        <f>SUM(D4:D6)</f>
        <v/>
      </c>
      <c r="E7" s="14">
        <f>SUM(E4:E6)</f>
        <v/>
      </c>
      <c r="F7" s="15">
        <f>SUM(F4:F6)</f>
        <v/>
      </c>
      <c r="G7" s="14">
        <f>SUM(G4:G6)</f>
        <v/>
      </c>
      <c r="H7" s="15">
        <f>SUM(H4:H6)</f>
        <v/>
      </c>
      <c r="I7" s="14">
        <f>SUM(I4:I6)</f>
        <v/>
      </c>
      <c r="J7" s="15">
        <f>SUM(J4:J6)</f>
        <v/>
      </c>
      <c r="K7" s="14">
        <f>SUM(K4:K6)</f>
        <v/>
      </c>
      <c r="L7" s="15">
        <f>SUM(L4:L6)</f>
        <v/>
      </c>
      <c r="M7" s="14">
        <f>SUM(M4:M6)</f>
        <v/>
      </c>
      <c r="N7" s="15">
        <f>SUM(N4:N6)</f>
        <v/>
      </c>
      <c r="O7" s="14">
        <f>SUM(O4:O6)</f>
        <v/>
      </c>
      <c r="P7" s="15">
        <f>SUM(P4:P6)</f>
        <v/>
      </c>
      <c r="Q7" s="14">
        <f>SUM(Q4:Q6)</f>
        <v/>
      </c>
      <c r="R7" s="15">
        <f>SUM(R4:R6)</f>
        <v/>
      </c>
      <c r="S7" s="14">
        <f>SUM(S4:S6)</f>
        <v/>
      </c>
      <c r="T7" s="15">
        <f>SUM(T4:T6)</f>
        <v/>
      </c>
      <c r="U7" s="11">
        <f>+B7-E7-G7-Q7-S7-K7-I7-M7-O7</f>
        <v/>
      </c>
    </row>
    <row r="8" ht="15" customFormat="1" customHeight="1" s="2" thickBot="1">
      <c r="A8" s="52" t="inlineStr">
        <is>
          <t>Actual Amount</t>
        </is>
      </c>
      <c r="B8" s="53" t="n"/>
      <c r="C8" s="16" t="n"/>
      <c r="D8" s="17" t="n"/>
      <c r="E8" s="18" t="n"/>
      <c r="F8" s="19" t="n">
        <v>0</v>
      </c>
      <c r="G8" s="18" t="n"/>
      <c r="H8" s="19" t="n">
        <v>70872.23</v>
      </c>
      <c r="I8" s="18" t="n"/>
      <c r="J8" s="19" t="n">
        <v>896</v>
      </c>
      <c r="K8" s="18" t="n"/>
      <c r="L8" s="19" t="n">
        <v>12462.39</v>
      </c>
      <c r="M8" s="20" t="n"/>
      <c r="N8" s="19" t="n">
        <v>88668.10000000001</v>
      </c>
      <c r="O8" s="20" t="inlineStr"/>
      <c r="P8" s="19" t="n">
        <v>0</v>
      </c>
      <c r="Q8" s="18" t="n">
        <v>0</v>
      </c>
      <c r="R8" s="19" t="n">
        <v>144825</v>
      </c>
      <c r="S8" s="18" t="n"/>
      <c r="T8" s="19" t="n">
        <v>111310.76</v>
      </c>
      <c r="U8" s="17" t="n"/>
    </row>
    <row r="9" ht="15.6" customHeight="1" s="69" thickBot="1" thickTop="1">
      <c r="A9" s="48" t="inlineStr">
        <is>
          <t>Diffrence should be zero</t>
        </is>
      </c>
      <c r="B9" s="49" t="n"/>
      <c r="C9" s="49" t="n"/>
      <c r="D9" s="21" t="n"/>
      <c r="E9" s="21" t="n"/>
      <c r="F9" s="22">
        <f>+F7-F8</f>
        <v/>
      </c>
      <c r="G9" s="21" t="n"/>
      <c r="H9" s="22">
        <f>+H7-H8</f>
        <v/>
      </c>
      <c r="I9" s="21" t="n"/>
      <c r="J9" s="22">
        <f>+J7-J8</f>
        <v/>
      </c>
      <c r="K9" s="21" t="n"/>
      <c r="L9" s="22">
        <f>+L7-L8</f>
        <v/>
      </c>
      <c r="M9" s="22" t="n"/>
      <c r="N9" s="22">
        <f>+N7-N8</f>
        <v/>
      </c>
      <c r="O9" s="22" t="n"/>
      <c r="P9" s="22">
        <f>+P7-P8</f>
        <v/>
      </c>
      <c r="Q9" s="21" t="n"/>
      <c r="R9" s="22">
        <f>+R7-R8</f>
        <v/>
      </c>
      <c r="S9" s="21" t="n"/>
      <c r="T9" s="22">
        <f>+T7-T8</f>
        <v/>
      </c>
      <c r="U9" s="23" t="n"/>
    </row>
    <row r="10" ht="15" customHeight="1" s="69" thickTop="1">
      <c r="A10" s="24" t="n"/>
      <c r="B10" s="24" t="n">
        <v>0</v>
      </c>
      <c r="C10" s="24" t="n"/>
      <c r="D10" s="2" t="n"/>
      <c r="E10" s="2" t="n"/>
      <c r="F10" s="25" t="n"/>
      <c r="G10" s="2" t="n"/>
      <c r="H10" s="25" t="n"/>
      <c r="I10" s="2" t="n"/>
      <c r="J10" s="25" t="n"/>
      <c r="K10" s="2" t="n"/>
      <c r="L10" s="6" t="n"/>
      <c r="M10" s="2" t="n"/>
      <c r="N10" s="25" t="n"/>
      <c r="O10" s="25" t="n"/>
      <c r="P10" s="25" t="n"/>
      <c r="Q10" s="25" t="n"/>
      <c r="R10" s="25" t="n"/>
      <c r="S10" s="2" t="n"/>
      <c r="T10" s="25" t="n"/>
      <c r="U10" s="2" t="n"/>
    </row>
    <row r="11">
      <c r="A11" s="26" t="inlineStr">
        <is>
          <t>sales value diff</t>
        </is>
      </c>
      <c r="D11" s="27">
        <f>+D7-F8-H8-L8-J8-R8-T8-N8-P8</f>
        <v/>
      </c>
      <c r="F11" s="72" t="n"/>
      <c r="M11" s="72" t="n"/>
    </row>
    <row r="12">
      <c r="F12" s="72" t="n"/>
      <c r="G12" s="72" t="n"/>
      <c r="H12" s="29" t="inlineStr">
        <is>
          <t>Petrol</t>
        </is>
      </c>
      <c r="I12" s="29" t="inlineStr">
        <is>
          <t>Diesal</t>
        </is>
      </c>
      <c r="J12" s="29" t="inlineStr">
        <is>
          <t>Power</t>
        </is>
      </c>
    </row>
    <row r="13">
      <c r="A13" s="58" t="inlineStr">
        <is>
          <t>CREDIT DETAIL</t>
        </is>
      </c>
      <c r="B13" s="59" t="n"/>
      <c r="C13" s="59" t="n"/>
      <c r="D13" s="59" t="n"/>
      <c r="E13" s="59" t="n"/>
      <c r="F13" s="57" t="n"/>
      <c r="H13" s="79" t="n">
        <v>75219</v>
      </c>
      <c r="I13" s="80" t="n">
        <v>63650</v>
      </c>
      <c r="J13" s="79" t="n">
        <v>3113</v>
      </c>
    </row>
    <row r="14">
      <c r="A14" s="29" t="inlineStr">
        <is>
          <t>particular</t>
        </is>
      </c>
      <c r="B14" s="29" t="inlineStr">
        <is>
          <t xml:space="preserve">Type </t>
        </is>
      </c>
      <c r="C14" s="31" t="inlineStr">
        <is>
          <t>QTY</t>
        </is>
      </c>
      <c r="D14" s="31" t="inlineStr">
        <is>
          <t>RATE</t>
        </is>
      </c>
      <c r="E14" s="31" t="inlineStr">
        <is>
          <t>AMOUNT</t>
        </is>
      </c>
      <c r="F14" s="32" t="inlineStr">
        <is>
          <t>inv no</t>
        </is>
      </c>
      <c r="H14" s="79" t="n">
        <v>119747</v>
      </c>
      <c r="I14" s="80" t="n">
        <v>100483</v>
      </c>
      <c r="J14" s="79" t="n"/>
      <c r="K14" s="74" t="n"/>
      <c r="L14" s="74" t="n"/>
      <c r="M14" s="74" t="n"/>
    </row>
    <row r="15">
      <c r="A15" s="33" t="inlineStr">
        <is>
          <t>Piploda</t>
        </is>
      </c>
      <c r="B15" s="34" t="inlineStr">
        <is>
          <t>diesal</t>
        </is>
      </c>
      <c r="C15" s="29">
        <f>+E15/D15</f>
        <v/>
      </c>
      <c r="D15" s="79">
        <f>+VLOOKUP(B15,A$4:C$6,3,0)</f>
        <v/>
      </c>
      <c r="E15" s="81" t="n">
        <v>26538.87</v>
      </c>
      <c r="F15" s="34" t="n">
        <v>21431</v>
      </c>
      <c r="H15" s="80" t="n"/>
      <c r="I15" s="80" t="n">
        <v>66823</v>
      </c>
      <c r="J15" s="80" t="n"/>
      <c r="K15" s="72" t="n"/>
    </row>
    <row r="16">
      <c r="A16" s="33" t="inlineStr">
        <is>
          <t>Piploda</t>
        </is>
      </c>
      <c r="B16" s="34" t="inlineStr">
        <is>
          <t>diesal</t>
        </is>
      </c>
      <c r="C16" s="29">
        <f>+E16/D16</f>
        <v/>
      </c>
      <c r="D16" s="79">
        <f>+VLOOKUP(B16,A$4:C$6,3,0)</f>
        <v/>
      </c>
      <c r="E16" s="81" t="n">
        <v>43260.64</v>
      </c>
      <c r="F16" s="34" t="n">
        <v>21432</v>
      </c>
      <c r="H16" s="79">
        <f>+H24/C4</f>
        <v/>
      </c>
      <c r="I16" s="43">
        <f>+I24/C5</f>
        <v/>
      </c>
      <c r="J16" s="43">
        <f>+J24/C6</f>
        <v/>
      </c>
      <c r="K16" s="72" t="n"/>
      <c r="M16" s="72" t="n"/>
    </row>
    <row r="17">
      <c r="A17" s="33" t="inlineStr">
        <is>
          <t>monu</t>
        </is>
      </c>
      <c r="B17" s="34" t="inlineStr">
        <is>
          <t>diesal</t>
        </is>
      </c>
      <c r="C17" s="29">
        <f>+E17/D17</f>
        <v/>
      </c>
      <c r="D17" s="79">
        <f>+VLOOKUP(B17,A$4:C$6,3,0)</f>
        <v/>
      </c>
      <c r="E17" s="82" t="n">
        <v>5500.19</v>
      </c>
      <c r="F17" s="34" t="n">
        <v>21434</v>
      </c>
      <c r="H17" s="72" t="n"/>
      <c r="K17" s="72" t="n"/>
    </row>
    <row r="18">
      <c r="A18" s="33" t="inlineStr">
        <is>
          <t>Sita Devi</t>
        </is>
      </c>
      <c r="B18" s="34" t="inlineStr">
        <is>
          <t>diesal</t>
        </is>
      </c>
      <c r="C18" s="29">
        <f>+E18/D18</f>
        <v/>
      </c>
      <c r="D18" s="79">
        <f>+VLOOKUP(B18,A$4:C$6,3,0)</f>
        <v/>
      </c>
      <c r="E18" s="82" t="n">
        <v>21440.21</v>
      </c>
      <c r="F18" s="34" t="n">
        <v>21435</v>
      </c>
    </row>
    <row r="19">
      <c r="A19" s="33" t="inlineStr">
        <is>
          <t>Shyam Tran.</t>
        </is>
      </c>
      <c r="B19" s="34" t="inlineStr">
        <is>
          <t>diesal</t>
        </is>
      </c>
      <c r="C19" s="29">
        <f>+E19/D19</f>
        <v/>
      </c>
      <c r="D19" s="79">
        <f>+VLOOKUP(B19,A$4:C$6,3,0)</f>
        <v/>
      </c>
      <c r="E19" s="82" t="n">
        <v>4009.83</v>
      </c>
      <c r="F19" s="39" t="n">
        <v>21437</v>
      </c>
      <c r="K19" s="72" t="n"/>
      <c r="M19" s="72" t="n"/>
    </row>
    <row r="20">
      <c r="A20" s="33" t="inlineStr">
        <is>
          <t>mool Chand yadav</t>
        </is>
      </c>
      <c r="B20" s="34" t="inlineStr">
        <is>
          <t>diesal</t>
        </is>
      </c>
      <c r="C20" s="29">
        <f>+E20/D20</f>
        <v/>
      </c>
      <c r="D20" s="79">
        <f>+VLOOKUP(B20,A$4:C$6,3,0)</f>
        <v/>
      </c>
      <c r="E20" s="82" t="n">
        <v>460.73</v>
      </c>
      <c r="F20" s="79" t="n">
        <v>21441</v>
      </c>
      <c r="K20" s="72" t="n"/>
    </row>
    <row r="21">
      <c r="A21" s="33" t="inlineStr">
        <is>
          <t>dinesh</t>
        </is>
      </c>
      <c r="B21" s="34" t="inlineStr">
        <is>
          <t>diesal</t>
        </is>
      </c>
      <c r="C21" s="29">
        <f>+E21/D21</f>
        <v/>
      </c>
      <c r="D21" s="79">
        <f>+VLOOKUP(B21,A$4:C$6,3,0)</f>
        <v/>
      </c>
      <c r="E21" s="82" t="n">
        <v>3350.39</v>
      </c>
      <c r="F21" s="35" t="n">
        <v>21442</v>
      </c>
      <c r="H21" s="71" t="n"/>
      <c r="K21" s="72" t="n"/>
      <c r="M21" s="72" t="n"/>
    </row>
    <row r="22">
      <c r="A22" s="33" t="n"/>
      <c r="B22" s="34" t="inlineStr">
        <is>
          <t>diesal</t>
        </is>
      </c>
      <c r="C22" s="29">
        <f>+E22/D22</f>
        <v/>
      </c>
      <c r="D22" s="79">
        <f>+VLOOKUP(B22,A$4:C$6,3,0)</f>
        <v/>
      </c>
      <c r="E22" s="82" t="n"/>
      <c r="F22" s="79" t="n"/>
    </row>
    <row r="23">
      <c r="A23" s="34" t="n"/>
      <c r="B23" s="34" t="inlineStr">
        <is>
          <t>diesal</t>
        </is>
      </c>
      <c r="C23" s="29">
        <f>+E23/D23</f>
        <v/>
      </c>
      <c r="D23" s="79">
        <f>+VLOOKUP(B23,A$4:C$6,3,0)</f>
        <v/>
      </c>
      <c r="E23" s="82" t="n"/>
      <c r="F23" s="79" t="n"/>
    </row>
    <row r="24">
      <c r="A24" s="34" t="n"/>
      <c r="B24" s="34" t="inlineStr">
        <is>
          <t>diesal</t>
        </is>
      </c>
      <c r="C24" s="29">
        <f>+E24/D24</f>
        <v/>
      </c>
      <c r="D24" s="79">
        <f>+VLOOKUP(B24,A$4:C$6,3,0)</f>
        <v/>
      </c>
      <c r="E24" s="29" t="n"/>
      <c r="F24" s="79" t="n"/>
      <c r="H24" s="72" t="n"/>
      <c r="I24" s="72" t="n"/>
      <c r="J24" s="72" t="n"/>
    </row>
    <row r="25">
      <c r="A25" s="34" t="n"/>
      <c r="B25" s="34" t="inlineStr">
        <is>
          <t>diesal</t>
        </is>
      </c>
      <c r="C25" s="29">
        <f>+E25/D25</f>
        <v/>
      </c>
      <c r="D25" s="79">
        <f>+VLOOKUP(B25,A$4:C$6,3,0)</f>
        <v/>
      </c>
      <c r="E25" s="29" t="n"/>
      <c r="F25" s="79" t="n"/>
      <c r="H25" s="72" t="n"/>
    </row>
    <row r="26">
      <c r="A26" s="79" t="n"/>
      <c r="B26" s="79" t="n"/>
      <c r="C26" s="29">
        <f>SUM(C15:C25)</f>
        <v/>
      </c>
      <c r="D26" s="29" t="n"/>
      <c r="E26" s="29">
        <f>SUM(E15:E25)</f>
        <v/>
      </c>
      <c r="F26" s="79" t="n"/>
    </row>
    <row r="50">
      <c r="E50" t="n">
        <v>9</v>
      </c>
    </row>
  </sheetData>
  <mergeCells count="16">
    <mergeCell ref="O2:P2"/>
    <mergeCell ref="M2:N2"/>
    <mergeCell ref="S2:T2"/>
    <mergeCell ref="Q2:R2"/>
    <mergeCell ref="A13:F13"/>
    <mergeCell ref="G2:H2"/>
    <mergeCell ref="E2:F2"/>
    <mergeCell ref="K2:L2"/>
    <mergeCell ref="I2:J2"/>
    <mergeCell ref="U2:U3"/>
    <mergeCell ref="C2:C3"/>
    <mergeCell ref="A9:C9"/>
    <mergeCell ref="B2:B3"/>
    <mergeCell ref="A2:A3"/>
    <mergeCell ref="D2:D3"/>
    <mergeCell ref="A8:B8"/>
  </mergeCell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X50"/>
  <sheetViews>
    <sheetView workbookViewId="0">
      <selection activeCell="A1" sqref="A1"/>
    </sheetView>
  </sheetViews>
  <sheetFormatPr baseColWidth="8" defaultColWidth="9.109375" defaultRowHeight="14.4"/>
  <cols>
    <col width="13.109375" customWidth="1" style="69" min="1" max="1"/>
    <col width="12" customWidth="1" style="69" min="2" max="2"/>
    <col width="12" customWidth="1" style="69" min="4" max="4"/>
    <col width="13.109375" customWidth="1" style="69" min="5" max="5"/>
    <col width="14" customWidth="1" style="69" min="6" max="6"/>
    <col width="10.109375" customWidth="1" style="69" min="7" max="7"/>
    <col width="10.6640625" customWidth="1" style="69" min="8" max="8"/>
    <col width="9.5546875" customWidth="1" style="69" min="9" max="9"/>
    <col width="10.6640625" customWidth="1" style="69" min="10" max="14"/>
    <col width="13.44140625" customWidth="1" style="69" min="15" max="15"/>
    <col width="11.88671875" customWidth="1" style="69" min="16" max="16"/>
    <col width="10.6640625" customWidth="1" style="69" min="18" max="18"/>
    <col width="9.5546875" customWidth="1" style="69" min="19" max="19"/>
    <col width="10.6640625" customWidth="1" style="69" min="20" max="20"/>
    <col width="9.6640625" customWidth="1" style="69" min="21" max="21"/>
    <col width="12.5546875" customWidth="1" style="69" min="23" max="23"/>
    <col width="12" customWidth="1" style="69" min="24" max="24"/>
  </cols>
  <sheetData>
    <row r="1" ht="18.6" customHeight="1" s="69"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</row>
    <row r="2" ht="18.6" customHeight="1" s="69">
      <c r="A2" s="47" t="inlineStr">
        <is>
          <t>Particular</t>
        </is>
      </c>
      <c r="B2" s="47" t="inlineStr">
        <is>
          <t>Qty</t>
        </is>
      </c>
      <c r="C2" s="47" t="inlineStr">
        <is>
          <t>Rate</t>
        </is>
      </c>
      <c r="D2" s="50" t="inlineStr">
        <is>
          <t>Amount</t>
        </is>
      </c>
      <c r="E2" s="56" t="inlineStr">
        <is>
          <t>Pos SBI</t>
        </is>
      </c>
      <c r="F2" s="57" t="n"/>
      <c r="G2" s="56" t="inlineStr">
        <is>
          <t>Paytm</t>
        </is>
      </c>
      <c r="H2" s="57" t="n"/>
      <c r="I2" s="56" t="inlineStr">
        <is>
          <t>HP Card</t>
        </is>
      </c>
      <c r="J2" s="57" t="n"/>
      <c r="K2" s="56" t="inlineStr">
        <is>
          <t>ICICI</t>
        </is>
      </c>
      <c r="L2" s="57" t="n"/>
      <c r="M2" s="56" t="inlineStr">
        <is>
          <t>phone pe</t>
        </is>
      </c>
      <c r="N2" s="57" t="n"/>
      <c r="O2" s="54" t="inlineStr">
        <is>
          <t>mobiquick</t>
        </is>
      </c>
      <c r="P2" s="55" t="n"/>
      <c r="Q2" s="56" t="inlineStr">
        <is>
          <t xml:space="preserve">CASH </t>
        </is>
      </c>
      <c r="R2" s="57" t="n"/>
      <c r="S2" s="56" t="inlineStr">
        <is>
          <t>Credit</t>
        </is>
      </c>
      <c r="T2" s="57" t="n"/>
      <c r="U2" s="45" t="inlineStr">
        <is>
          <t>Qty Diffrence</t>
        </is>
      </c>
      <c r="W2" s="2" t="n"/>
      <c r="X2" s="2" t="n"/>
    </row>
    <row r="3" ht="18.6" customHeight="1" s="69">
      <c r="A3" s="46" t="n"/>
      <c r="B3" s="46" t="n"/>
      <c r="C3" s="46" t="n"/>
      <c r="D3" s="51" t="n"/>
      <c r="E3" s="56" t="inlineStr">
        <is>
          <t>Qty</t>
        </is>
      </c>
      <c r="F3" s="41" t="inlineStr">
        <is>
          <t>Amount</t>
        </is>
      </c>
      <c r="G3" s="56" t="inlineStr">
        <is>
          <t>Qty</t>
        </is>
      </c>
      <c r="H3" s="41" t="inlineStr">
        <is>
          <t>Amount</t>
        </is>
      </c>
      <c r="I3" s="56" t="inlineStr">
        <is>
          <t>Qty</t>
        </is>
      </c>
      <c r="J3" s="41" t="inlineStr">
        <is>
          <t>Amount</t>
        </is>
      </c>
      <c r="K3" s="56" t="inlineStr">
        <is>
          <t>Qty</t>
        </is>
      </c>
      <c r="L3" s="41" t="inlineStr">
        <is>
          <t>Amount</t>
        </is>
      </c>
      <c r="M3" s="56" t="inlineStr">
        <is>
          <t>Qty</t>
        </is>
      </c>
      <c r="N3" s="41" t="inlineStr">
        <is>
          <t>Amount</t>
        </is>
      </c>
      <c r="O3" s="56" t="inlineStr">
        <is>
          <t>Qty</t>
        </is>
      </c>
      <c r="P3" s="41" t="inlineStr">
        <is>
          <t>Amount</t>
        </is>
      </c>
      <c r="Q3" s="56" t="inlineStr">
        <is>
          <t>Qty</t>
        </is>
      </c>
      <c r="R3" s="41" t="inlineStr">
        <is>
          <t>Amount</t>
        </is>
      </c>
      <c r="S3" s="56" t="inlineStr">
        <is>
          <t>Qty</t>
        </is>
      </c>
      <c r="T3" s="41" t="inlineStr">
        <is>
          <t>Amount</t>
        </is>
      </c>
      <c r="U3" s="46" t="n"/>
      <c r="W3" s="2" t="inlineStr">
        <is>
          <t>diesal</t>
        </is>
      </c>
      <c r="X3" s="2">
        <f>+SUMIFS(C15:C25,B15:B25,W3)</f>
        <v/>
      </c>
    </row>
    <row r="4" customFormat="1" s="2">
      <c r="A4" s="3" t="inlineStr">
        <is>
          <t>Petrol</t>
        </is>
      </c>
      <c r="B4" s="12">
        <f>+(H13+H14+H15)/$C$4</f>
        <v/>
      </c>
      <c r="C4" s="4" t="n">
        <v>104.71</v>
      </c>
      <c r="D4" s="5">
        <f>B4*C4</f>
        <v/>
      </c>
      <c r="E4" s="6" t="n">
        <v>0</v>
      </c>
      <c r="F4" s="7">
        <f>+E4*C4</f>
        <v/>
      </c>
      <c r="G4" s="9">
        <f>+(H8*60%)/$C$4</f>
        <v/>
      </c>
      <c r="H4" s="7">
        <f>+G4*C4</f>
        <v/>
      </c>
      <c r="I4" s="6">
        <f>J4/C4</f>
        <v/>
      </c>
      <c r="J4" s="7" t="n">
        <v>0</v>
      </c>
      <c r="K4" s="8">
        <f>+L8/$C$4</f>
        <v/>
      </c>
      <c r="L4" s="7">
        <f>+K4*C4</f>
        <v/>
      </c>
      <c r="M4" s="9">
        <f>+(N8*60%)/$C$4</f>
        <v/>
      </c>
      <c r="N4" s="7">
        <f>+M4*C4</f>
        <v/>
      </c>
      <c r="O4" s="9" t="n"/>
      <c r="P4" s="7">
        <f>+O4*C4</f>
        <v/>
      </c>
      <c r="Q4" s="6" t="n">
        <v>918.9680832776241</v>
      </c>
      <c r="R4" s="7">
        <f>+Q4*C4</f>
        <v/>
      </c>
      <c r="S4" s="10">
        <f>+X4</f>
        <v/>
      </c>
      <c r="T4" s="7">
        <f>+S4*C4</f>
        <v/>
      </c>
      <c r="U4" s="11">
        <f>+B4-E4-G4-Q4-S4-K4-I4-M4-O4</f>
        <v/>
      </c>
      <c r="W4" t="inlineStr">
        <is>
          <t>petrol</t>
        </is>
      </c>
      <c r="X4" s="2">
        <f>+SUMIFS(C15:C26,B15:B26,W4)</f>
        <v/>
      </c>
    </row>
    <row r="5" customFormat="1" s="2">
      <c r="A5" s="3" t="inlineStr">
        <is>
          <t>Diesal</t>
        </is>
      </c>
      <c r="B5" s="12">
        <f>+(I13+I14+I15)/$C$5</f>
        <v/>
      </c>
      <c r="C5" s="4" t="n">
        <v>90.20999999999999</v>
      </c>
      <c r="D5" s="5">
        <f>B5*C5</f>
        <v/>
      </c>
      <c r="E5" s="6" t="n">
        <v>0</v>
      </c>
      <c r="F5" s="7">
        <f>+E5*C5</f>
        <v/>
      </c>
      <c r="G5" s="6">
        <f>+(H8*40%)/$C$5</f>
        <v/>
      </c>
      <c r="H5" s="7">
        <f>+G5*C5</f>
        <v/>
      </c>
      <c r="I5" s="6">
        <f>+J8/C5</f>
        <v/>
      </c>
      <c r="J5" s="7">
        <f>+I5*C5</f>
        <v/>
      </c>
      <c r="K5" s="6" t="n">
        <v>0</v>
      </c>
      <c r="L5" s="7">
        <f>+K5*C5</f>
        <v/>
      </c>
      <c r="M5" s="6">
        <f>+(N8*40%)/$C$5</f>
        <v/>
      </c>
      <c r="N5" s="7">
        <f>+M5*C5</f>
        <v/>
      </c>
      <c r="O5" s="9">
        <f>+P8/C5</f>
        <v/>
      </c>
      <c r="P5" s="7">
        <f>+O5*C5</f>
        <v/>
      </c>
      <c r="Q5" s="6" t="n">
        <v>648.7169049994458</v>
      </c>
      <c r="R5" s="7">
        <f>+Q5*C5</f>
        <v/>
      </c>
      <c r="S5" s="10">
        <f>+X3</f>
        <v/>
      </c>
      <c r="T5" s="7">
        <f>+S5*C5</f>
        <v/>
      </c>
      <c r="U5" s="11">
        <f>+B5-E5-G5-Q5-S5-K5-I5-M5-O5</f>
        <v/>
      </c>
      <c r="W5" t="inlineStr">
        <is>
          <t>Petrol Power</t>
        </is>
      </c>
      <c r="X5" s="2">
        <f>+SUMIFS(C17:C27,B17:B27,W5)</f>
        <v/>
      </c>
    </row>
    <row r="6" customFormat="1" s="2">
      <c r="A6" s="3" t="inlineStr">
        <is>
          <t>Petrol Power</t>
        </is>
      </c>
      <c r="B6" s="12">
        <f>+(J13+J14+J15)/$C$6</f>
        <v/>
      </c>
      <c r="C6" s="4" t="n">
        <v>112.8</v>
      </c>
      <c r="D6" s="5">
        <f>B6*C6</f>
        <v/>
      </c>
      <c r="E6" s="6" t="n">
        <v>0</v>
      </c>
      <c r="F6" s="7">
        <f>+E6*C6</f>
        <v/>
      </c>
      <c r="G6" s="6" t="n"/>
      <c r="H6" s="7">
        <f>+G6*C6</f>
        <v/>
      </c>
      <c r="I6" s="6" t="n">
        <v>0</v>
      </c>
      <c r="J6" s="7">
        <f>+I6*C6</f>
        <v/>
      </c>
      <c r="K6" s="6" t="n">
        <v>0</v>
      </c>
      <c r="L6" s="7">
        <f>+K6*C6</f>
        <v/>
      </c>
      <c r="M6" s="9" t="n">
        <v>0</v>
      </c>
      <c r="N6" s="7">
        <f>+M6*C6</f>
        <v/>
      </c>
      <c r="O6" s="9" t="n"/>
      <c r="P6" s="7">
        <f>+O6*C6</f>
        <v/>
      </c>
      <c r="Q6" s="6" t="n">
        <v>42.81914893617022</v>
      </c>
      <c r="R6" s="7">
        <f>+Q6*C6</f>
        <v/>
      </c>
      <c r="S6" s="10">
        <f>+X5</f>
        <v/>
      </c>
      <c r="T6" s="7">
        <f>+S6*C6</f>
        <v/>
      </c>
      <c r="U6" s="11">
        <f>+B6-E6-G6-Q6-S6-K6-I6-M6-O6</f>
        <v/>
      </c>
    </row>
    <row r="7" customFormat="1" s="2">
      <c r="A7" s="3" t="n"/>
      <c r="B7" s="38">
        <f>SUM(B4:B6)</f>
        <v/>
      </c>
      <c r="C7" s="3" t="n"/>
      <c r="D7" s="13">
        <f>SUM(D4:D6)</f>
        <v/>
      </c>
      <c r="E7" s="14">
        <f>SUM(E4:E6)</f>
        <v/>
      </c>
      <c r="F7" s="15">
        <f>SUM(F4:F6)</f>
        <v/>
      </c>
      <c r="G7" s="14">
        <f>SUM(G4:G6)</f>
        <v/>
      </c>
      <c r="H7" s="15">
        <f>SUM(H4:H6)</f>
        <v/>
      </c>
      <c r="I7" s="14">
        <f>SUM(I4:I6)</f>
        <v/>
      </c>
      <c r="J7" s="15">
        <f>SUM(J4:J6)</f>
        <v/>
      </c>
      <c r="K7" s="14">
        <f>SUM(K4:K6)</f>
        <v/>
      </c>
      <c r="L7" s="15">
        <f>SUM(L4:L6)</f>
        <v/>
      </c>
      <c r="M7" s="14">
        <f>SUM(M4:M6)</f>
        <v/>
      </c>
      <c r="N7" s="15">
        <f>SUM(N4:N6)</f>
        <v/>
      </c>
      <c r="O7" s="14">
        <f>SUM(O4:O6)</f>
        <v/>
      </c>
      <c r="P7" s="15">
        <f>SUM(P4:P6)</f>
        <v/>
      </c>
      <c r="Q7" s="14">
        <f>SUM(Q4:Q6)</f>
        <v/>
      </c>
      <c r="R7" s="15">
        <f>SUM(R4:R6)</f>
        <v/>
      </c>
      <c r="S7" s="14">
        <f>SUM(S4:S6)</f>
        <v/>
      </c>
      <c r="T7" s="15">
        <f>SUM(T4:T6)</f>
        <v/>
      </c>
      <c r="U7" s="11">
        <f>+B7-E7-G7-Q7-S7-K7-I7-M7-O7</f>
        <v/>
      </c>
    </row>
    <row r="8" ht="15" customFormat="1" customHeight="1" s="2" thickBot="1">
      <c r="A8" s="52" t="inlineStr">
        <is>
          <t>Actual Amount</t>
        </is>
      </c>
      <c r="B8" s="53" t="n"/>
      <c r="C8" s="16" t="n"/>
      <c r="D8" s="17" t="n"/>
      <c r="E8" s="18" t="n"/>
      <c r="F8" s="19" t="n">
        <v>0</v>
      </c>
      <c r="G8" s="18" t="n"/>
      <c r="H8" s="19" t="n">
        <v>94097.75</v>
      </c>
      <c r="I8" s="18" t="n"/>
      <c r="J8" s="19" t="n">
        <v>1597</v>
      </c>
      <c r="K8" s="18" t="n"/>
      <c r="L8" s="19" t="n">
        <v>11436.55</v>
      </c>
      <c r="M8" s="20" t="n"/>
      <c r="N8" s="19" t="n">
        <v>78244.42</v>
      </c>
      <c r="O8" s="20" t="inlineStr"/>
      <c r="P8" s="19" t="n">
        <v>0</v>
      </c>
      <c r="Q8" s="18" t="n">
        <v>0</v>
      </c>
      <c r="R8" s="19" t="n">
        <v>159135</v>
      </c>
      <c r="S8" s="18" t="n"/>
      <c r="T8" s="19" t="n">
        <v>37986.2</v>
      </c>
      <c r="U8" s="17" t="n"/>
    </row>
    <row r="9" ht="15.6" customHeight="1" s="69" thickBot="1" thickTop="1">
      <c r="A9" s="48" t="inlineStr">
        <is>
          <t>Diffrence should be zero</t>
        </is>
      </c>
      <c r="B9" s="49" t="n"/>
      <c r="C9" s="49" t="n"/>
      <c r="D9" s="21" t="n"/>
      <c r="E9" s="21" t="n"/>
      <c r="F9" s="22">
        <f>+F7-F8</f>
        <v/>
      </c>
      <c r="G9" s="21" t="n"/>
      <c r="H9" s="22">
        <f>+H7-H8</f>
        <v/>
      </c>
      <c r="I9" s="21" t="n"/>
      <c r="J9" s="22">
        <f>+J7-J8</f>
        <v/>
      </c>
      <c r="K9" s="21" t="n"/>
      <c r="L9" s="22">
        <f>+L7-L8</f>
        <v/>
      </c>
      <c r="M9" s="22" t="n"/>
      <c r="N9" s="22">
        <f>+N7-N8</f>
        <v/>
      </c>
      <c r="O9" s="22" t="n"/>
      <c r="P9" s="22">
        <f>+P7-P8</f>
        <v/>
      </c>
      <c r="Q9" s="21" t="n"/>
      <c r="R9" s="22">
        <f>+R7-R8</f>
        <v/>
      </c>
      <c r="S9" s="21" t="n"/>
      <c r="T9" s="22">
        <f>+T7-T8</f>
        <v/>
      </c>
      <c r="U9" s="23" t="n"/>
    </row>
    <row r="10" ht="15" customHeight="1" s="69" thickTop="1">
      <c r="A10" s="24" t="n"/>
      <c r="B10" s="24" t="n">
        <v>0</v>
      </c>
      <c r="C10" s="24" t="n"/>
      <c r="D10" s="2" t="n"/>
      <c r="E10" s="2" t="n"/>
      <c r="F10" s="25" t="n"/>
      <c r="G10" s="2" t="n"/>
      <c r="H10" s="25" t="n"/>
      <c r="I10" s="2" t="n"/>
      <c r="J10" s="25" t="n"/>
      <c r="K10" s="2" t="n"/>
      <c r="L10" s="6" t="n"/>
      <c r="M10" s="2" t="n"/>
      <c r="N10" s="25" t="n"/>
      <c r="O10" s="25" t="n"/>
      <c r="P10" s="25" t="n"/>
      <c r="Q10" s="25" t="n"/>
      <c r="R10" s="25" t="n"/>
      <c r="S10" s="2" t="n"/>
      <c r="T10" s="25" t="n"/>
      <c r="U10" s="2" t="n"/>
    </row>
    <row r="11">
      <c r="A11" s="26" t="inlineStr">
        <is>
          <t>sales value diff</t>
        </is>
      </c>
      <c r="D11" s="27">
        <f>+D7-F8-H8-L8-J8-R8-T8-N8-P8</f>
        <v/>
      </c>
      <c r="F11" s="72" t="n"/>
      <c r="M11" s="72" t="n"/>
    </row>
    <row r="12">
      <c r="F12" s="72" t="n"/>
      <c r="G12" s="72" t="n"/>
      <c r="H12" s="29" t="inlineStr">
        <is>
          <t>Petrol</t>
        </is>
      </c>
      <c r="I12" s="29" t="inlineStr">
        <is>
          <t>Diesal</t>
        </is>
      </c>
      <c r="J12" s="29" t="inlineStr">
        <is>
          <t>Power</t>
        </is>
      </c>
    </row>
    <row r="13">
      <c r="A13" s="58" t="inlineStr">
        <is>
          <t>CREDIT DETAIL</t>
        </is>
      </c>
      <c r="B13" s="59" t="n"/>
      <c r="C13" s="59" t="n"/>
      <c r="D13" s="59" t="n"/>
      <c r="E13" s="59" t="n"/>
      <c r="F13" s="57" t="n"/>
      <c r="H13" s="79" t="n">
        <v>101280</v>
      </c>
      <c r="I13" s="80" t="n">
        <v>37629</v>
      </c>
      <c r="J13" s="79" t="n">
        <v>4830</v>
      </c>
    </row>
    <row r="14">
      <c r="A14" s="29" t="inlineStr">
        <is>
          <t>particular</t>
        </is>
      </c>
      <c r="B14" s="29" t="inlineStr">
        <is>
          <t xml:space="preserve">Type </t>
        </is>
      </c>
      <c r="C14" s="31" t="inlineStr">
        <is>
          <t>QTY</t>
        </is>
      </c>
      <c r="D14" s="31" t="inlineStr">
        <is>
          <t>RATE</t>
        </is>
      </c>
      <c r="E14" s="31" t="inlineStr">
        <is>
          <t>AMOUNT</t>
        </is>
      </c>
      <c r="F14" s="32" t="inlineStr">
        <is>
          <t>inv no</t>
        </is>
      </c>
      <c r="H14" s="79" t="n">
        <v>109787</v>
      </c>
      <c r="I14" s="80" t="n">
        <v>32122</v>
      </c>
      <c r="J14" s="79" t="n"/>
      <c r="K14" s="74" t="n"/>
      <c r="L14" s="74" t="n"/>
      <c r="M14" s="74" t="n"/>
    </row>
    <row r="15">
      <c r="A15" s="33" t="inlineStr">
        <is>
          <t>mool Chand yadav</t>
        </is>
      </c>
      <c r="B15" s="34" t="inlineStr">
        <is>
          <t>diesal</t>
        </is>
      </c>
      <c r="C15" s="29">
        <f>+E15/D15</f>
        <v/>
      </c>
      <c r="D15" s="79">
        <f>+VLOOKUP(B15,A$4:C$6,3,0)</f>
        <v/>
      </c>
      <c r="E15" s="81" t="n">
        <v>16738.46</v>
      </c>
      <c r="F15" s="34" t="n">
        <v>21443</v>
      </c>
      <c r="H15" s="80" t="n"/>
      <c r="I15" s="80" t="n">
        <v>96849</v>
      </c>
      <c r="J15" s="80" t="n"/>
      <c r="K15" s="72" t="n"/>
    </row>
    <row r="16">
      <c r="A16" s="33" t="inlineStr">
        <is>
          <t>Sita Devi</t>
        </is>
      </c>
      <c r="B16" s="34" t="inlineStr">
        <is>
          <t>diesal</t>
        </is>
      </c>
      <c r="C16" s="29">
        <f>+E16/D16</f>
        <v/>
      </c>
      <c r="D16" s="79">
        <f>+VLOOKUP(B16,A$4:C$6,3,0)</f>
        <v/>
      </c>
      <c r="E16" s="81" t="n">
        <v>14500.35</v>
      </c>
      <c r="F16" s="34" t="n">
        <v>21444</v>
      </c>
      <c r="H16" s="79">
        <f>+H24/C4</f>
        <v/>
      </c>
      <c r="I16" s="43">
        <f>+I24/C5</f>
        <v/>
      </c>
      <c r="J16" s="43">
        <f>+J24/C6</f>
        <v/>
      </c>
      <c r="K16" s="72" t="n"/>
      <c r="M16" s="72" t="n"/>
    </row>
    <row r="17">
      <c r="A17" s="33" t="inlineStr">
        <is>
          <t>Shyam Tran.</t>
        </is>
      </c>
      <c r="B17" s="34" t="inlineStr">
        <is>
          <t>diesal</t>
        </is>
      </c>
      <c r="C17" s="29">
        <f>+E17/D17</f>
        <v/>
      </c>
      <c r="D17" s="79">
        <f>+VLOOKUP(B17,A$4:C$6,3,0)</f>
        <v/>
      </c>
      <c r="E17" s="82" t="n">
        <v>3169.97</v>
      </c>
      <c r="F17" s="34" t="n">
        <v>21445</v>
      </c>
      <c r="H17" s="72" t="n"/>
      <c r="K17" s="72" t="n"/>
    </row>
    <row r="18">
      <c r="A18" s="33" t="inlineStr">
        <is>
          <t>dinesh</t>
        </is>
      </c>
      <c r="B18" s="34" t="inlineStr">
        <is>
          <t>diesal</t>
        </is>
      </c>
      <c r="C18" s="29">
        <f>+E18/D18</f>
        <v/>
      </c>
      <c r="D18" s="79">
        <f>+VLOOKUP(B18,A$4:C$6,3,0)</f>
        <v/>
      </c>
      <c r="E18" s="82" t="n">
        <v>3136.6</v>
      </c>
      <c r="F18" s="34" t="n">
        <v>21447</v>
      </c>
    </row>
    <row r="19">
      <c r="A19" s="33" t="n"/>
      <c r="B19" s="34" t="inlineStr">
        <is>
          <t>diesal</t>
        </is>
      </c>
      <c r="C19" s="29">
        <f>+E19/D19</f>
        <v/>
      </c>
      <c r="D19" s="79">
        <f>+VLOOKUP(B19,A$4:C$6,3,0)</f>
        <v/>
      </c>
      <c r="E19" s="82" t="n"/>
      <c r="F19" s="39" t="n"/>
      <c r="K19" s="72" t="n"/>
      <c r="M19" s="72" t="n"/>
    </row>
    <row r="20">
      <c r="A20" s="33" t="n"/>
      <c r="B20" s="34" t="inlineStr">
        <is>
          <t>diesal</t>
        </is>
      </c>
      <c r="C20" s="29">
        <f>+E20/D20</f>
        <v/>
      </c>
      <c r="D20" s="79">
        <f>+VLOOKUP(B20,A$4:C$6,3,0)</f>
        <v/>
      </c>
      <c r="E20" s="82" t="n"/>
      <c r="F20" s="79" t="n"/>
      <c r="K20" s="72" t="n"/>
    </row>
    <row r="21">
      <c r="A21" s="33" t="n"/>
      <c r="B21" s="34" t="inlineStr">
        <is>
          <t>diesal</t>
        </is>
      </c>
      <c r="C21" s="29">
        <f>+E21/D21</f>
        <v/>
      </c>
      <c r="D21" s="79">
        <f>+VLOOKUP(B21,A$4:C$6,3,0)</f>
        <v/>
      </c>
      <c r="E21" s="82" t="n"/>
      <c r="F21" s="35" t="n"/>
      <c r="H21" s="71" t="n"/>
      <c r="K21" s="72" t="n"/>
      <c r="M21" s="72" t="n"/>
    </row>
    <row r="22">
      <c r="A22" s="33" t="n"/>
      <c r="B22" s="34" t="inlineStr">
        <is>
          <t>diesal</t>
        </is>
      </c>
      <c r="C22" s="29">
        <f>+E22/D22</f>
        <v/>
      </c>
      <c r="D22" s="79">
        <f>+VLOOKUP(B22,A$4:C$6,3,0)</f>
        <v/>
      </c>
      <c r="E22" s="82" t="n"/>
      <c r="F22" s="79" t="n"/>
    </row>
    <row r="23">
      <c r="A23" s="34" t="n"/>
      <c r="B23" s="34" t="inlineStr">
        <is>
          <t>diesal</t>
        </is>
      </c>
      <c r="C23" s="29">
        <f>+E23/D23</f>
        <v/>
      </c>
      <c r="D23" s="79">
        <f>+VLOOKUP(B23,A$4:C$6,3,0)</f>
        <v/>
      </c>
      <c r="E23" s="82" t="n"/>
      <c r="F23" s="79" t="n"/>
    </row>
    <row r="24">
      <c r="A24" s="34" t="n"/>
      <c r="B24" s="34" t="inlineStr">
        <is>
          <t>diesal</t>
        </is>
      </c>
      <c r="C24" s="29">
        <f>+E24/D24</f>
        <v/>
      </c>
      <c r="D24" s="79">
        <f>+VLOOKUP(B24,A$4:C$6,3,0)</f>
        <v/>
      </c>
      <c r="E24" s="29" t="n"/>
      <c r="F24" s="79" t="n"/>
      <c r="H24" s="72" t="n"/>
      <c r="I24" s="72" t="n"/>
      <c r="J24" s="72" t="n"/>
    </row>
    <row r="25">
      <c r="A25" s="34" t="n"/>
      <c r="B25" s="34" t="inlineStr">
        <is>
          <t>diesal</t>
        </is>
      </c>
      <c r="C25" s="29">
        <f>+E25/D25</f>
        <v/>
      </c>
      <c r="D25" s="79">
        <f>+VLOOKUP(B25,A$4:C$6,3,0)</f>
        <v/>
      </c>
      <c r="E25" s="29" t="n"/>
      <c r="F25" s="79" t="n"/>
      <c r="H25" s="72" t="n"/>
    </row>
    <row r="26">
      <c r="A26" s="79" t="n"/>
      <c r="B26" s="79" t="n"/>
      <c r="C26" s="29">
        <f>SUM(C15:C25)</f>
        <v/>
      </c>
      <c r="D26" s="29" t="n"/>
      <c r="E26" s="29">
        <f>SUM(E15:E25)</f>
        <v/>
      </c>
      <c r="F26" s="79" t="n"/>
    </row>
    <row r="50">
      <c r="E50" t="n">
        <v>9</v>
      </c>
    </row>
  </sheetData>
  <mergeCells count="16">
    <mergeCell ref="O2:P2"/>
    <mergeCell ref="M2:N2"/>
    <mergeCell ref="S2:T2"/>
    <mergeCell ref="Q2:R2"/>
    <mergeCell ref="A13:F13"/>
    <mergeCell ref="G2:H2"/>
    <mergeCell ref="E2:F2"/>
    <mergeCell ref="K2:L2"/>
    <mergeCell ref="I2:J2"/>
    <mergeCell ref="U2:U3"/>
    <mergeCell ref="C2:C3"/>
    <mergeCell ref="A9:C9"/>
    <mergeCell ref="B2:B3"/>
    <mergeCell ref="A2:A3"/>
    <mergeCell ref="D2:D3"/>
    <mergeCell ref="A8:B8"/>
  </mergeCell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X50"/>
  <sheetViews>
    <sheetView workbookViewId="0">
      <selection activeCell="A1" sqref="A1"/>
    </sheetView>
  </sheetViews>
  <sheetFormatPr baseColWidth="8" defaultColWidth="9.109375" defaultRowHeight="14.4"/>
  <cols>
    <col width="13.109375" customWidth="1" style="69" min="1" max="1"/>
    <col width="12" customWidth="1" style="69" min="2" max="2"/>
    <col width="12" customWidth="1" style="69" min="4" max="4"/>
    <col width="13.109375" customWidth="1" style="69" min="5" max="5"/>
    <col width="14" customWidth="1" style="69" min="6" max="6"/>
    <col width="10.109375" customWidth="1" style="69" min="7" max="7"/>
    <col width="10.6640625" customWidth="1" style="69" min="8" max="8"/>
    <col width="9.5546875" customWidth="1" style="69" min="9" max="9"/>
    <col width="10.6640625" customWidth="1" style="69" min="10" max="14"/>
    <col width="13.44140625" customWidth="1" style="69" min="15" max="15"/>
    <col width="11.88671875" customWidth="1" style="69" min="16" max="16"/>
    <col width="10.6640625" customWidth="1" style="69" min="18" max="18"/>
    <col width="9.5546875" customWidth="1" style="69" min="19" max="19"/>
    <col width="10.6640625" customWidth="1" style="69" min="20" max="20"/>
    <col width="9.6640625" customWidth="1" style="69" min="21" max="21"/>
    <col width="12.5546875" customWidth="1" style="69" min="23" max="23"/>
    <col width="12" customWidth="1" style="69" min="24" max="24"/>
  </cols>
  <sheetData>
    <row r="1" ht="18.6" customHeight="1" s="69"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</row>
    <row r="2" ht="18.6" customHeight="1" s="69">
      <c r="A2" s="47" t="inlineStr">
        <is>
          <t>Particular</t>
        </is>
      </c>
      <c r="B2" s="47" t="inlineStr">
        <is>
          <t>Qty</t>
        </is>
      </c>
      <c r="C2" s="47" t="inlineStr">
        <is>
          <t>Rate</t>
        </is>
      </c>
      <c r="D2" s="50" t="inlineStr">
        <is>
          <t>Amount</t>
        </is>
      </c>
      <c r="E2" s="56" t="inlineStr">
        <is>
          <t>Pos SBI</t>
        </is>
      </c>
      <c r="F2" s="57" t="n"/>
      <c r="G2" s="56" t="inlineStr">
        <is>
          <t>Paytm</t>
        </is>
      </c>
      <c r="H2" s="57" t="n"/>
      <c r="I2" s="56" t="inlineStr">
        <is>
          <t>HP Card</t>
        </is>
      </c>
      <c r="J2" s="57" t="n"/>
      <c r="K2" s="56" t="inlineStr">
        <is>
          <t>ICICI</t>
        </is>
      </c>
      <c r="L2" s="57" t="n"/>
      <c r="M2" s="56" t="inlineStr">
        <is>
          <t>phone pe</t>
        </is>
      </c>
      <c r="N2" s="57" t="n"/>
      <c r="O2" s="54" t="inlineStr">
        <is>
          <t>mobiquick</t>
        </is>
      </c>
      <c r="P2" s="55" t="n"/>
      <c r="Q2" s="56" t="inlineStr">
        <is>
          <t xml:space="preserve">CASH </t>
        </is>
      </c>
      <c r="R2" s="57" t="n"/>
      <c r="S2" s="56" t="inlineStr">
        <is>
          <t>Credit</t>
        </is>
      </c>
      <c r="T2" s="57" t="n"/>
      <c r="U2" s="45" t="inlineStr">
        <is>
          <t>Qty Diffrence</t>
        </is>
      </c>
      <c r="W2" s="2" t="n"/>
      <c r="X2" s="2" t="n"/>
    </row>
    <row r="3" ht="18.6" customHeight="1" s="69">
      <c r="A3" s="46" t="n"/>
      <c r="B3" s="46" t="n"/>
      <c r="C3" s="46" t="n"/>
      <c r="D3" s="51" t="n"/>
      <c r="E3" s="56" t="inlineStr">
        <is>
          <t>Qty</t>
        </is>
      </c>
      <c r="F3" s="41" t="inlineStr">
        <is>
          <t>Amount</t>
        </is>
      </c>
      <c r="G3" s="56" t="inlineStr">
        <is>
          <t>Qty</t>
        </is>
      </c>
      <c r="H3" s="41" t="inlineStr">
        <is>
          <t>Amount</t>
        </is>
      </c>
      <c r="I3" s="56" t="inlineStr">
        <is>
          <t>Qty</t>
        </is>
      </c>
      <c r="J3" s="41" t="inlineStr">
        <is>
          <t>Amount</t>
        </is>
      </c>
      <c r="K3" s="56" t="inlineStr">
        <is>
          <t>Qty</t>
        </is>
      </c>
      <c r="L3" s="41" t="inlineStr">
        <is>
          <t>Amount</t>
        </is>
      </c>
      <c r="M3" s="56" t="inlineStr">
        <is>
          <t>Qty</t>
        </is>
      </c>
      <c r="N3" s="41" t="inlineStr">
        <is>
          <t>Amount</t>
        </is>
      </c>
      <c r="O3" s="56" t="inlineStr">
        <is>
          <t>Qty</t>
        </is>
      </c>
      <c r="P3" s="41" t="inlineStr">
        <is>
          <t>Amount</t>
        </is>
      </c>
      <c r="Q3" s="56" t="inlineStr">
        <is>
          <t>Qty</t>
        </is>
      </c>
      <c r="R3" s="41" t="inlineStr">
        <is>
          <t>Amount</t>
        </is>
      </c>
      <c r="S3" s="56" t="inlineStr">
        <is>
          <t>Qty</t>
        </is>
      </c>
      <c r="T3" s="41" t="inlineStr">
        <is>
          <t>Amount</t>
        </is>
      </c>
      <c r="U3" s="46" t="n"/>
      <c r="W3" s="2" t="inlineStr">
        <is>
          <t>diesal</t>
        </is>
      </c>
      <c r="X3" s="2">
        <f>+SUMIFS(C15:C25,B15:B25,W3)</f>
        <v/>
      </c>
    </row>
    <row r="4" customFormat="1" s="2">
      <c r="A4" s="3" t="inlineStr">
        <is>
          <t>Petrol</t>
        </is>
      </c>
      <c r="B4" s="12">
        <f>+(H13+H14+H15)/$C$4</f>
        <v/>
      </c>
      <c r="C4" s="4" t="n">
        <v>104.71</v>
      </c>
      <c r="D4" s="5">
        <f>B4*C4</f>
        <v/>
      </c>
      <c r="E4" s="6" t="n">
        <v>0</v>
      </c>
      <c r="F4" s="7">
        <f>+E4*C4</f>
        <v/>
      </c>
      <c r="G4" s="9">
        <f>+(H8*60%)/$C$4</f>
        <v/>
      </c>
      <c r="H4" s="7">
        <f>+G4*C4</f>
        <v/>
      </c>
      <c r="I4" s="6">
        <f>J4/C4</f>
        <v/>
      </c>
      <c r="J4" s="7" t="n">
        <v>0</v>
      </c>
      <c r="K4" s="8">
        <f>+L8/$C$4</f>
        <v/>
      </c>
      <c r="L4" s="7">
        <f>+K4*C4</f>
        <v/>
      </c>
      <c r="M4" s="9">
        <f>+(N8*60%)/$C$4</f>
        <v/>
      </c>
      <c r="N4" s="7">
        <f>+M4*C4</f>
        <v/>
      </c>
      <c r="O4" s="9" t="n"/>
      <c r="P4" s="7">
        <f>+O4*C4</f>
        <v/>
      </c>
      <c r="Q4" s="6" t="n">
        <v>619.8663546939166</v>
      </c>
      <c r="R4" s="7">
        <f>+Q4*C4</f>
        <v/>
      </c>
      <c r="S4" s="10">
        <f>+X4</f>
        <v/>
      </c>
      <c r="T4" s="7">
        <f>+S4*C4</f>
        <v/>
      </c>
      <c r="U4" s="11">
        <f>+B4-E4-G4-Q4-S4-K4-I4-M4-O4</f>
        <v/>
      </c>
      <c r="W4" t="inlineStr">
        <is>
          <t>petrol</t>
        </is>
      </c>
      <c r="X4" s="2">
        <f>+SUMIFS(C15:C26,B15:B26,W4)</f>
        <v/>
      </c>
    </row>
    <row r="5" customFormat="1" s="2">
      <c r="A5" s="3" t="inlineStr">
        <is>
          <t>Diesal</t>
        </is>
      </c>
      <c r="B5" s="12">
        <f>+(I13+I14+I15)/$C$5</f>
        <v/>
      </c>
      <c r="C5" s="4" t="n">
        <v>90.20999999999999</v>
      </c>
      <c r="D5" s="5">
        <f>B5*C5</f>
        <v/>
      </c>
      <c r="E5" s="6" t="n">
        <v>0</v>
      </c>
      <c r="F5" s="7">
        <f>+E5*C5</f>
        <v/>
      </c>
      <c r="G5" s="6">
        <f>+(H8*40%)/$C$5</f>
        <v/>
      </c>
      <c r="H5" s="7">
        <f>+G5*C5</f>
        <v/>
      </c>
      <c r="I5" s="6">
        <f>+J8/C5</f>
        <v/>
      </c>
      <c r="J5" s="7">
        <f>+I5*C5</f>
        <v/>
      </c>
      <c r="K5" s="6" t="n">
        <v>0</v>
      </c>
      <c r="L5" s="7">
        <f>+K5*C5</f>
        <v/>
      </c>
      <c r="M5" s="6">
        <f>+(N8*40%)/$C$5</f>
        <v/>
      </c>
      <c r="N5" s="7">
        <f>+M5*C5</f>
        <v/>
      </c>
      <c r="O5" s="9">
        <f>+P8/C5</f>
        <v/>
      </c>
      <c r="P5" s="7">
        <f>+O5*C5</f>
        <v/>
      </c>
      <c r="Q5" s="6" t="n">
        <v>304.1896020396852</v>
      </c>
      <c r="R5" s="7">
        <f>+Q5*C5</f>
        <v/>
      </c>
      <c r="S5" s="10">
        <f>+X3</f>
        <v/>
      </c>
      <c r="T5" s="7">
        <f>+S5*C5</f>
        <v/>
      </c>
      <c r="U5" s="11">
        <f>+B5-E5-G5-Q5-S5-K5-I5-M5-O5</f>
        <v/>
      </c>
      <c r="W5" t="inlineStr">
        <is>
          <t>Petrol Power</t>
        </is>
      </c>
      <c r="X5" s="2">
        <f>+SUMIFS(C17:C27,B17:B27,W5)</f>
        <v/>
      </c>
    </row>
    <row r="6" customFormat="1" s="2">
      <c r="A6" s="3" t="inlineStr">
        <is>
          <t>Petrol Power</t>
        </is>
      </c>
      <c r="B6" s="12">
        <f>+(J13+J14+J15)/$C$6</f>
        <v/>
      </c>
      <c r="C6" s="4" t="n">
        <v>112.8</v>
      </c>
      <c r="D6" s="5">
        <f>B6*C6</f>
        <v/>
      </c>
      <c r="E6" s="6" t="n">
        <v>0</v>
      </c>
      <c r="F6" s="7">
        <f>+E6*C6</f>
        <v/>
      </c>
      <c r="G6" s="6" t="n"/>
      <c r="H6" s="7">
        <f>+G6*C6</f>
        <v/>
      </c>
      <c r="I6" s="6" t="n">
        <v>0</v>
      </c>
      <c r="J6" s="7">
        <f>+I6*C6</f>
        <v/>
      </c>
      <c r="K6" s="6" t="n">
        <v>0</v>
      </c>
      <c r="L6" s="7">
        <f>+K6*C6</f>
        <v/>
      </c>
      <c r="M6" s="9" t="n">
        <v>0</v>
      </c>
      <c r="N6" s="7">
        <f>+M6*C6</f>
        <v/>
      </c>
      <c r="O6" s="9" t="n"/>
      <c r="P6" s="7">
        <f>+O6*C6</f>
        <v/>
      </c>
      <c r="Q6" s="6" t="n">
        <v>39.44148936170213</v>
      </c>
      <c r="R6" s="7">
        <f>+Q6*C6</f>
        <v/>
      </c>
      <c r="S6" s="10">
        <f>+X5</f>
        <v/>
      </c>
      <c r="T6" s="7">
        <f>+S6*C6</f>
        <v/>
      </c>
      <c r="U6" s="11">
        <f>+B6-E6-G6-Q6-S6-K6-I6-M6-O6</f>
        <v/>
      </c>
    </row>
    <row r="7" customFormat="1" s="2">
      <c r="A7" s="3" t="n"/>
      <c r="B7" s="38">
        <f>SUM(B4:B6)</f>
        <v/>
      </c>
      <c r="C7" s="3" t="n"/>
      <c r="D7" s="13">
        <f>SUM(D4:D6)</f>
        <v/>
      </c>
      <c r="E7" s="14">
        <f>SUM(E4:E6)</f>
        <v/>
      </c>
      <c r="F7" s="15">
        <f>SUM(F4:F6)</f>
        <v/>
      </c>
      <c r="G7" s="14">
        <f>SUM(G4:G6)</f>
        <v/>
      </c>
      <c r="H7" s="15">
        <f>SUM(H4:H6)</f>
        <v/>
      </c>
      <c r="I7" s="14">
        <f>SUM(I4:I6)</f>
        <v/>
      </c>
      <c r="J7" s="15">
        <f>SUM(J4:J6)</f>
        <v/>
      </c>
      <c r="K7" s="14">
        <f>SUM(K4:K6)</f>
        <v/>
      </c>
      <c r="L7" s="15">
        <f>SUM(L4:L6)</f>
        <v/>
      </c>
      <c r="M7" s="14">
        <f>SUM(M4:M6)</f>
        <v/>
      </c>
      <c r="N7" s="15">
        <f>SUM(N4:N6)</f>
        <v/>
      </c>
      <c r="O7" s="14">
        <f>SUM(O4:O6)</f>
        <v/>
      </c>
      <c r="P7" s="15">
        <f>SUM(P4:P6)</f>
        <v/>
      </c>
      <c r="Q7" s="14">
        <f>SUM(Q4:Q6)</f>
        <v/>
      </c>
      <c r="R7" s="15">
        <f>SUM(R4:R6)</f>
        <v/>
      </c>
      <c r="S7" s="14">
        <f>SUM(S4:S6)</f>
        <v/>
      </c>
      <c r="T7" s="15">
        <f>SUM(T4:T6)</f>
        <v/>
      </c>
      <c r="U7" s="11">
        <f>+B7-E7-G7-Q7-S7-K7-I7-M7-O7</f>
        <v/>
      </c>
    </row>
    <row r="8" ht="15" customFormat="1" customHeight="1" s="2" thickBot="1">
      <c r="A8" s="52" t="inlineStr">
        <is>
          <t>Actual Amount</t>
        </is>
      </c>
      <c r="B8" s="53" t="n"/>
      <c r="C8" s="16" t="n"/>
      <c r="D8" s="17" t="n"/>
      <c r="E8" s="18" t="n"/>
      <c r="F8" s="19" t="n">
        <v>0</v>
      </c>
      <c r="G8" s="18" t="n"/>
      <c r="H8" s="19" t="n">
        <v>67580.96000000001</v>
      </c>
      <c r="I8" s="18" t="n"/>
      <c r="J8" s="19" t="n">
        <v>0</v>
      </c>
      <c r="K8" s="18" t="n"/>
      <c r="L8" s="19" t="n">
        <v>18545.61</v>
      </c>
      <c r="M8" s="20" t="n"/>
      <c r="N8" s="19" t="n">
        <v>75842.67999999999</v>
      </c>
      <c r="O8" s="20" t="inlineStr"/>
      <c r="P8" s="19" t="n">
        <v>0</v>
      </c>
      <c r="Q8" s="18" t="n">
        <v>0</v>
      </c>
      <c r="R8" s="19" t="n">
        <v>92095</v>
      </c>
      <c r="S8" s="18" t="n"/>
      <c r="T8" s="19" t="n">
        <v>25238.04</v>
      </c>
      <c r="U8" s="17" t="n"/>
    </row>
    <row r="9" ht="15.6" customHeight="1" s="69" thickBot="1" thickTop="1">
      <c r="A9" s="48" t="inlineStr">
        <is>
          <t>Diffrence should be zero</t>
        </is>
      </c>
      <c r="B9" s="49" t="n"/>
      <c r="C9" s="49" t="n"/>
      <c r="D9" s="21" t="n"/>
      <c r="E9" s="21" t="n"/>
      <c r="F9" s="22">
        <f>+F7-F8</f>
        <v/>
      </c>
      <c r="G9" s="21" t="n"/>
      <c r="H9" s="22">
        <f>+H7-H8</f>
        <v/>
      </c>
      <c r="I9" s="21" t="n"/>
      <c r="J9" s="22">
        <f>+J7-J8</f>
        <v/>
      </c>
      <c r="K9" s="21" t="n"/>
      <c r="L9" s="22">
        <f>+L7-L8</f>
        <v/>
      </c>
      <c r="M9" s="22" t="n"/>
      <c r="N9" s="22">
        <f>+N7-N8</f>
        <v/>
      </c>
      <c r="O9" s="22" t="n"/>
      <c r="P9" s="22">
        <f>+P7-P8</f>
        <v/>
      </c>
      <c r="Q9" s="21" t="n"/>
      <c r="R9" s="22">
        <f>+R7-R8</f>
        <v/>
      </c>
      <c r="S9" s="21" t="n"/>
      <c r="T9" s="22">
        <f>+T7-T8</f>
        <v/>
      </c>
      <c r="U9" s="23" t="n"/>
    </row>
    <row r="10" ht="15" customHeight="1" s="69" thickTop="1">
      <c r="A10" s="24" t="n"/>
      <c r="B10" s="24" t="n">
        <v>0</v>
      </c>
      <c r="C10" s="24" t="n"/>
      <c r="D10" s="2" t="n"/>
      <c r="E10" s="2" t="n"/>
      <c r="F10" s="25" t="n"/>
      <c r="G10" s="2" t="n"/>
      <c r="H10" s="25" t="n"/>
      <c r="I10" s="2" t="n"/>
      <c r="J10" s="25" t="n"/>
      <c r="K10" s="2" t="n"/>
      <c r="L10" s="6" t="n"/>
      <c r="M10" s="2" t="n"/>
      <c r="N10" s="25" t="n"/>
      <c r="O10" s="25" t="n"/>
      <c r="P10" s="25" t="n"/>
      <c r="Q10" s="25" t="n"/>
      <c r="R10" s="25" t="n"/>
      <c r="S10" s="2" t="n"/>
      <c r="T10" s="25" t="n"/>
      <c r="U10" s="2" t="n"/>
    </row>
    <row r="11">
      <c r="A11" s="26" t="inlineStr">
        <is>
          <t>sales value diff</t>
        </is>
      </c>
      <c r="D11" s="27">
        <f>+D7-F8-H8-L8-J8-R8-T8-N8-P8</f>
        <v/>
      </c>
      <c r="F11" s="72" t="n"/>
      <c r="M11" s="72" t="n"/>
    </row>
    <row r="12">
      <c r="F12" s="72" t="n"/>
      <c r="G12" s="72" t="n"/>
      <c r="H12" s="29" t="inlineStr">
        <is>
          <t>Petrol</t>
        </is>
      </c>
      <c r="I12" s="29" t="inlineStr">
        <is>
          <t>Diesal</t>
        </is>
      </c>
      <c r="J12" s="29" t="inlineStr">
        <is>
          <t>Power</t>
        </is>
      </c>
    </row>
    <row r="13">
      <c r="A13" s="58" t="inlineStr">
        <is>
          <t>CREDIT DETAIL</t>
        </is>
      </c>
      <c r="B13" s="59" t="n"/>
      <c r="C13" s="59" t="n"/>
      <c r="D13" s="59" t="n"/>
      <c r="E13" s="59" t="n"/>
      <c r="F13" s="57" t="n"/>
      <c r="H13" s="79" t="n">
        <v>84313</v>
      </c>
      <c r="I13" s="80" t="n">
        <v>34630</v>
      </c>
      <c r="J13" s="79" t="n">
        <v>4449</v>
      </c>
    </row>
    <row r="14">
      <c r="A14" s="29" t="inlineStr">
        <is>
          <t>particular</t>
        </is>
      </c>
      <c r="B14" s="29" t="inlineStr">
        <is>
          <t xml:space="preserve">Type </t>
        </is>
      </c>
      <c r="C14" s="31" t="inlineStr">
        <is>
          <t>QTY</t>
        </is>
      </c>
      <c r="D14" s="31" t="inlineStr">
        <is>
          <t>RATE</t>
        </is>
      </c>
      <c r="E14" s="31" t="inlineStr">
        <is>
          <t>AMOUNT</t>
        </is>
      </c>
      <c r="F14" s="32" t="inlineStr">
        <is>
          <t>inv no</t>
        </is>
      </c>
      <c r="H14" s="79" t="n">
        <v>85193</v>
      </c>
      <c r="I14" s="80" t="n">
        <v>33207</v>
      </c>
      <c r="J14" s="79" t="n"/>
      <c r="K14" s="74" t="n"/>
      <c r="L14" s="74" t="n"/>
      <c r="M14" s="74" t="n"/>
    </row>
    <row r="15">
      <c r="A15" s="33" t="inlineStr">
        <is>
          <t>monu</t>
        </is>
      </c>
      <c r="B15" s="34" t="inlineStr">
        <is>
          <t>diesal</t>
        </is>
      </c>
      <c r="C15" s="29">
        <f>+E15/D15</f>
        <v/>
      </c>
      <c r="D15" s="79">
        <f>+VLOOKUP(B15,A$4:C$6,3,0)</f>
        <v/>
      </c>
      <c r="E15" s="81" t="n">
        <v>5999.36</v>
      </c>
      <c r="F15" s="34" t="n">
        <v>21449</v>
      </c>
      <c r="H15" s="80" t="n"/>
      <c r="I15" s="80" t="n">
        <v>37511</v>
      </c>
      <c r="J15" s="80" t="n"/>
      <c r="K15" s="72" t="n"/>
    </row>
    <row r="16">
      <c r="A16" s="33" t="inlineStr">
        <is>
          <t>Sita Devi</t>
        </is>
      </c>
      <c r="B16" s="34" t="inlineStr">
        <is>
          <t>diesal</t>
        </is>
      </c>
      <c r="C16" s="29">
        <f>+E16/D16</f>
        <v/>
      </c>
      <c r="D16" s="79">
        <f>+VLOOKUP(B16,A$4:C$6,3,0)</f>
        <v/>
      </c>
      <c r="E16" s="81" t="n">
        <v>14538.24</v>
      </c>
      <c r="F16" s="34" t="n">
        <v>21451</v>
      </c>
      <c r="H16" s="79">
        <f>+H24/C4</f>
        <v/>
      </c>
      <c r="I16" s="43">
        <f>+I24/C5</f>
        <v/>
      </c>
      <c r="J16" s="43">
        <f>+J24/C6</f>
        <v/>
      </c>
      <c r="K16" s="72" t="n"/>
      <c r="M16" s="72" t="n"/>
    </row>
    <row r="17">
      <c r="A17" s="33" t="n"/>
      <c r="B17" s="34" t="inlineStr">
        <is>
          <t>diesal</t>
        </is>
      </c>
      <c r="C17" s="29">
        <f>+E17/D17</f>
        <v/>
      </c>
      <c r="D17" s="79">
        <f>+VLOOKUP(B17,A$4:C$6,3,0)</f>
        <v/>
      </c>
      <c r="E17" s="82" t="n"/>
      <c r="F17" s="34" t="n"/>
      <c r="H17" s="72" t="n"/>
      <c r="K17" s="72" t="n"/>
    </row>
    <row r="18">
      <c r="A18" s="33" t="n"/>
      <c r="B18" s="34" t="inlineStr">
        <is>
          <t>diesal</t>
        </is>
      </c>
      <c r="C18" s="29">
        <f>+E18/D18</f>
        <v/>
      </c>
      <c r="D18" s="79">
        <f>+VLOOKUP(B18,A$4:C$6,3,0)</f>
        <v/>
      </c>
      <c r="E18" s="82" t="n"/>
      <c r="F18" s="34" t="n"/>
    </row>
    <row r="19">
      <c r="A19" s="33" t="n"/>
      <c r="B19" s="34" t="inlineStr">
        <is>
          <t>diesal</t>
        </is>
      </c>
      <c r="C19" s="29">
        <f>+E19/D19</f>
        <v/>
      </c>
      <c r="D19" s="79">
        <f>+VLOOKUP(B19,A$4:C$6,3,0)</f>
        <v/>
      </c>
      <c r="E19" s="82" t="n"/>
      <c r="F19" s="39" t="n"/>
      <c r="K19" s="72" t="n"/>
      <c r="M19" s="72" t="n"/>
    </row>
    <row r="20">
      <c r="A20" s="33" t="n"/>
      <c r="B20" s="34" t="inlineStr">
        <is>
          <t>diesal</t>
        </is>
      </c>
      <c r="C20" s="29">
        <f>+E20/D20</f>
        <v/>
      </c>
      <c r="D20" s="79">
        <f>+VLOOKUP(B20,A$4:C$6,3,0)</f>
        <v/>
      </c>
      <c r="E20" s="82" t="n"/>
      <c r="F20" s="79" t="n"/>
      <c r="K20" s="72" t="n"/>
    </row>
    <row r="21">
      <c r="A21" s="33" t="n"/>
      <c r="B21" s="34" t="inlineStr">
        <is>
          <t>diesal</t>
        </is>
      </c>
      <c r="C21" s="29">
        <f>+E21/D21</f>
        <v/>
      </c>
      <c r="D21" s="79">
        <f>+VLOOKUP(B21,A$4:C$6,3,0)</f>
        <v/>
      </c>
      <c r="E21" s="82" t="n"/>
      <c r="F21" s="35" t="n"/>
      <c r="H21" s="71" t="n"/>
      <c r="K21" s="72" t="n"/>
      <c r="M21" s="72" t="n"/>
    </row>
    <row r="22">
      <c r="A22" s="33" t="n"/>
      <c r="B22" s="34" t="inlineStr">
        <is>
          <t>diesal</t>
        </is>
      </c>
      <c r="C22" s="29">
        <f>+E22/D22</f>
        <v/>
      </c>
      <c r="D22" s="79">
        <f>+VLOOKUP(B22,A$4:C$6,3,0)</f>
        <v/>
      </c>
      <c r="E22" s="82" t="n"/>
      <c r="F22" s="79" t="n"/>
    </row>
    <row r="23">
      <c r="A23" s="34" t="n"/>
      <c r="B23" s="34" t="inlineStr">
        <is>
          <t>diesal</t>
        </is>
      </c>
      <c r="C23" s="29">
        <f>+E23/D23</f>
        <v/>
      </c>
      <c r="D23" s="79">
        <f>+VLOOKUP(B23,A$4:C$6,3,0)</f>
        <v/>
      </c>
      <c r="E23" s="82" t="n"/>
      <c r="F23" s="79" t="n"/>
    </row>
    <row r="24">
      <c r="A24" s="34" t="n"/>
      <c r="B24" s="34" t="inlineStr">
        <is>
          <t>diesal</t>
        </is>
      </c>
      <c r="C24" s="29">
        <f>+E24/D24</f>
        <v/>
      </c>
      <c r="D24" s="79">
        <f>+VLOOKUP(B24,A$4:C$6,3,0)</f>
        <v/>
      </c>
      <c r="E24" s="29" t="n"/>
      <c r="F24" s="79" t="n"/>
      <c r="H24" s="72" t="n"/>
      <c r="I24" s="72" t="n"/>
      <c r="J24" s="72" t="n"/>
    </row>
    <row r="25">
      <c r="A25" s="34" t="n"/>
      <c r="B25" s="34" t="inlineStr">
        <is>
          <t>diesal</t>
        </is>
      </c>
      <c r="C25" s="29">
        <f>+E25/D25</f>
        <v/>
      </c>
      <c r="D25" s="79">
        <f>+VLOOKUP(B25,A$4:C$6,3,0)</f>
        <v/>
      </c>
      <c r="E25" s="29" t="n"/>
      <c r="F25" s="79" t="n"/>
      <c r="H25" s="72" t="n"/>
    </row>
    <row r="26">
      <c r="A26" s="79" t="n"/>
      <c r="B26" s="79" t="n"/>
      <c r="C26" s="29">
        <f>SUM(C15:C25)</f>
        <v/>
      </c>
      <c r="D26" s="29" t="n"/>
      <c r="E26" s="29">
        <f>SUM(E15:E25)</f>
        <v/>
      </c>
      <c r="F26" s="79" t="n"/>
    </row>
    <row r="50">
      <c r="E50" t="n">
        <v>9</v>
      </c>
    </row>
  </sheetData>
  <mergeCells count="16">
    <mergeCell ref="O2:P2"/>
    <mergeCell ref="M2:N2"/>
    <mergeCell ref="S2:T2"/>
    <mergeCell ref="Q2:R2"/>
    <mergeCell ref="A13:F13"/>
    <mergeCell ref="G2:H2"/>
    <mergeCell ref="E2:F2"/>
    <mergeCell ref="K2:L2"/>
    <mergeCell ref="I2:J2"/>
    <mergeCell ref="U2:U3"/>
    <mergeCell ref="C2:C3"/>
    <mergeCell ref="A9:C9"/>
    <mergeCell ref="B2:B3"/>
    <mergeCell ref="A2:A3"/>
    <mergeCell ref="D2:D3"/>
    <mergeCell ref="A8:B8"/>
  </mergeCell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X50"/>
  <sheetViews>
    <sheetView workbookViewId="0">
      <selection activeCell="A1" sqref="A1"/>
    </sheetView>
  </sheetViews>
  <sheetFormatPr baseColWidth="8" defaultColWidth="9.109375" defaultRowHeight="14.4"/>
  <cols>
    <col width="13.109375" customWidth="1" style="69" min="1" max="1"/>
    <col width="12" customWidth="1" style="69" min="2" max="2"/>
    <col width="12" customWidth="1" style="69" min="4" max="4"/>
    <col width="13.109375" customWidth="1" style="69" min="5" max="5"/>
    <col width="14" customWidth="1" style="69" min="6" max="6"/>
    <col width="10.109375" customWidth="1" style="69" min="7" max="7"/>
    <col width="10.6640625" customWidth="1" style="69" min="8" max="8"/>
    <col width="9.5546875" customWidth="1" style="69" min="9" max="9"/>
    <col width="10.6640625" customWidth="1" style="69" min="10" max="14"/>
    <col width="13.44140625" customWidth="1" style="69" min="15" max="15"/>
    <col width="11.88671875" customWidth="1" style="69" min="16" max="16"/>
    <col width="10.6640625" customWidth="1" style="69" min="18" max="18"/>
    <col width="9.5546875" customWidth="1" style="69" min="19" max="19"/>
    <col width="10.6640625" customWidth="1" style="69" min="20" max="20"/>
    <col width="9.6640625" customWidth="1" style="69" min="21" max="21"/>
    <col width="12.5546875" customWidth="1" style="69" min="23" max="23"/>
    <col width="12" customWidth="1" style="69" min="24" max="24"/>
  </cols>
  <sheetData>
    <row r="1" ht="18.6" customHeight="1" s="69"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</row>
    <row r="2" ht="18.6" customHeight="1" s="69">
      <c r="A2" s="47" t="inlineStr">
        <is>
          <t>Particular</t>
        </is>
      </c>
      <c r="B2" s="47" t="inlineStr">
        <is>
          <t>Qty</t>
        </is>
      </c>
      <c r="C2" s="47" t="inlineStr">
        <is>
          <t>Rate</t>
        </is>
      </c>
      <c r="D2" s="50" t="inlineStr">
        <is>
          <t>Amount</t>
        </is>
      </c>
      <c r="E2" s="56" t="inlineStr">
        <is>
          <t>Pos SBI</t>
        </is>
      </c>
      <c r="F2" s="57" t="n"/>
      <c r="G2" s="56" t="inlineStr">
        <is>
          <t>Paytm</t>
        </is>
      </c>
      <c r="H2" s="57" t="n"/>
      <c r="I2" s="56" t="inlineStr">
        <is>
          <t>HP Card</t>
        </is>
      </c>
      <c r="J2" s="57" t="n"/>
      <c r="K2" s="56" t="inlineStr">
        <is>
          <t>ICICI</t>
        </is>
      </c>
      <c r="L2" s="57" t="n"/>
      <c r="M2" s="56" t="inlineStr">
        <is>
          <t>phone pe</t>
        </is>
      </c>
      <c r="N2" s="57" t="n"/>
      <c r="O2" s="54" t="inlineStr">
        <is>
          <t>mobiquick</t>
        </is>
      </c>
      <c r="P2" s="55" t="n"/>
      <c r="Q2" s="56" t="inlineStr">
        <is>
          <t xml:space="preserve">CASH </t>
        </is>
      </c>
      <c r="R2" s="57" t="n"/>
      <c r="S2" s="56" t="inlineStr">
        <is>
          <t>Credit</t>
        </is>
      </c>
      <c r="T2" s="57" t="n"/>
      <c r="U2" s="45" t="inlineStr">
        <is>
          <t>Qty Diffrence</t>
        </is>
      </c>
      <c r="W2" s="2" t="n"/>
      <c r="X2" s="2" t="n"/>
    </row>
    <row r="3" ht="18.6" customHeight="1" s="69">
      <c r="A3" s="46" t="n"/>
      <c r="B3" s="46" t="n"/>
      <c r="C3" s="46" t="n"/>
      <c r="D3" s="51" t="n"/>
      <c r="E3" s="56" t="inlineStr">
        <is>
          <t>Qty</t>
        </is>
      </c>
      <c r="F3" s="41" t="inlineStr">
        <is>
          <t>Amount</t>
        </is>
      </c>
      <c r="G3" s="56" t="inlineStr">
        <is>
          <t>Qty</t>
        </is>
      </c>
      <c r="H3" s="41" t="inlineStr">
        <is>
          <t>Amount</t>
        </is>
      </c>
      <c r="I3" s="56" t="inlineStr">
        <is>
          <t>Qty</t>
        </is>
      </c>
      <c r="J3" s="41" t="inlineStr">
        <is>
          <t>Amount</t>
        </is>
      </c>
      <c r="K3" s="56" t="inlineStr">
        <is>
          <t>Qty</t>
        </is>
      </c>
      <c r="L3" s="41" t="inlineStr">
        <is>
          <t>Amount</t>
        </is>
      </c>
      <c r="M3" s="56" t="inlineStr">
        <is>
          <t>Qty</t>
        </is>
      </c>
      <c r="N3" s="41" t="inlineStr">
        <is>
          <t>Amount</t>
        </is>
      </c>
      <c r="O3" s="56" t="inlineStr">
        <is>
          <t>Qty</t>
        </is>
      </c>
      <c r="P3" s="41" t="inlineStr">
        <is>
          <t>Amount</t>
        </is>
      </c>
      <c r="Q3" s="56" t="inlineStr">
        <is>
          <t>Qty</t>
        </is>
      </c>
      <c r="R3" s="41" t="inlineStr">
        <is>
          <t>Amount</t>
        </is>
      </c>
      <c r="S3" s="56" t="inlineStr">
        <is>
          <t>Qty</t>
        </is>
      </c>
      <c r="T3" s="41" t="inlineStr">
        <is>
          <t>Amount</t>
        </is>
      </c>
      <c r="U3" s="46" t="n"/>
      <c r="W3" s="2" t="inlineStr">
        <is>
          <t>diesal</t>
        </is>
      </c>
      <c r="X3" s="2">
        <f>+SUMIFS(C15:C25,B15:B25,W3)</f>
        <v/>
      </c>
    </row>
    <row r="4" customFormat="1" s="2">
      <c r="A4" s="3" t="inlineStr">
        <is>
          <t>Petrol</t>
        </is>
      </c>
      <c r="B4" s="12">
        <f>+(H13+H14+H15)/$C$4</f>
        <v/>
      </c>
      <c r="C4" s="4" t="n">
        <v>104.71</v>
      </c>
      <c r="D4" s="5">
        <f>B4*C4</f>
        <v/>
      </c>
      <c r="E4" s="6" t="n">
        <v>0</v>
      </c>
      <c r="F4" s="7">
        <f>+E4*C4</f>
        <v/>
      </c>
      <c r="G4" s="9">
        <f>+(H8*60%)/$C$4</f>
        <v/>
      </c>
      <c r="H4" s="7">
        <f>+G4*C4</f>
        <v/>
      </c>
      <c r="I4" s="6">
        <f>J4/C4</f>
        <v/>
      </c>
      <c r="J4" s="7" t="n">
        <v>0</v>
      </c>
      <c r="K4" s="8">
        <f>+L8/$C$4</f>
        <v/>
      </c>
      <c r="L4" s="7">
        <f>+K4*C4</f>
        <v/>
      </c>
      <c r="M4" s="9">
        <f>+(N8*60%)/$C$4</f>
        <v/>
      </c>
      <c r="N4" s="7">
        <f>+M4*C4</f>
        <v/>
      </c>
      <c r="O4" s="9" t="n"/>
      <c r="P4" s="7">
        <f>+O4*C4</f>
        <v/>
      </c>
      <c r="Q4" s="6" t="n">
        <v>851.2117849298062</v>
      </c>
      <c r="R4" s="7">
        <f>+Q4*C4</f>
        <v/>
      </c>
      <c r="S4" s="10">
        <f>+X4</f>
        <v/>
      </c>
      <c r="T4" s="7">
        <f>+S4*C4</f>
        <v/>
      </c>
      <c r="U4" s="11">
        <f>+B4-E4-G4-Q4-S4-K4-I4-M4-O4</f>
        <v/>
      </c>
      <c r="W4" t="inlineStr">
        <is>
          <t>petrol</t>
        </is>
      </c>
      <c r="X4" s="2">
        <f>+SUMIFS(C15:C26,B15:B26,W4)</f>
        <v/>
      </c>
    </row>
    <row r="5" customFormat="1" s="2">
      <c r="A5" s="3" t="inlineStr">
        <is>
          <t>Diesal</t>
        </is>
      </c>
      <c r="B5" s="12">
        <f>+(I13+I14+I15)/$C$5</f>
        <v/>
      </c>
      <c r="C5" s="4" t="n">
        <v>90.20999999999999</v>
      </c>
      <c r="D5" s="5">
        <f>B5*C5</f>
        <v/>
      </c>
      <c r="E5" s="6" t="n">
        <v>0</v>
      </c>
      <c r="F5" s="7">
        <f>+E5*C5</f>
        <v/>
      </c>
      <c r="G5" s="6">
        <f>+(H8*40%)/$C$5</f>
        <v/>
      </c>
      <c r="H5" s="7">
        <f>+G5*C5</f>
        <v/>
      </c>
      <c r="I5" s="6">
        <f>+J8/C5</f>
        <v/>
      </c>
      <c r="J5" s="7">
        <f>+I5*C5</f>
        <v/>
      </c>
      <c r="K5" s="6" t="n">
        <v>0</v>
      </c>
      <c r="L5" s="7">
        <f>+K5*C5</f>
        <v/>
      </c>
      <c r="M5" s="6">
        <f>+(N8*40%)/$C$5</f>
        <v/>
      </c>
      <c r="N5" s="7">
        <f>+M5*C5</f>
        <v/>
      </c>
      <c r="O5" s="9">
        <f>+P8/C5</f>
        <v/>
      </c>
      <c r="P5" s="7">
        <f>+O5*C5</f>
        <v/>
      </c>
      <c r="Q5" s="6" t="n">
        <v>488.2537856113513</v>
      </c>
      <c r="R5" s="7">
        <f>+Q5*C5</f>
        <v/>
      </c>
      <c r="S5" s="10">
        <f>+X3</f>
        <v/>
      </c>
      <c r="T5" s="7">
        <f>+S5*C5</f>
        <v/>
      </c>
      <c r="U5" s="11">
        <f>+B5-E5-G5-Q5-S5-K5-I5-M5-O5</f>
        <v/>
      </c>
      <c r="W5" t="inlineStr">
        <is>
          <t>Petrol Power</t>
        </is>
      </c>
      <c r="X5" s="2">
        <f>+SUMIFS(C17:C27,B17:B27,W5)</f>
        <v/>
      </c>
    </row>
    <row r="6" customFormat="1" s="2">
      <c r="A6" s="3" t="inlineStr">
        <is>
          <t>Petrol Power</t>
        </is>
      </c>
      <c r="B6" s="12">
        <f>+(J13+J14+J15)/$C$6</f>
        <v/>
      </c>
      <c r="C6" s="4" t="n">
        <v>112.8</v>
      </c>
      <c r="D6" s="5">
        <f>B6*C6</f>
        <v/>
      </c>
      <c r="E6" s="6" t="n">
        <v>0</v>
      </c>
      <c r="F6" s="7">
        <f>+E6*C6</f>
        <v/>
      </c>
      <c r="G6" s="6" t="n"/>
      <c r="H6" s="7">
        <f>+G6*C6</f>
        <v/>
      </c>
      <c r="I6" s="6" t="n">
        <v>0</v>
      </c>
      <c r="J6" s="7">
        <f>+I6*C6</f>
        <v/>
      </c>
      <c r="K6" s="6" t="n">
        <v>0</v>
      </c>
      <c r="L6" s="7">
        <f>+K6*C6</f>
        <v/>
      </c>
      <c r="M6" s="9" t="n">
        <v>0</v>
      </c>
      <c r="N6" s="7">
        <f>+M6*C6</f>
        <v/>
      </c>
      <c r="O6" s="9" t="n"/>
      <c r="P6" s="7">
        <f>+O6*C6</f>
        <v/>
      </c>
      <c r="Q6" s="6" t="n">
        <v>43.65248226950354</v>
      </c>
      <c r="R6" s="7">
        <f>+Q6*C6</f>
        <v/>
      </c>
      <c r="S6" s="10">
        <f>+X5</f>
        <v/>
      </c>
      <c r="T6" s="7">
        <f>+S6*C6</f>
        <v/>
      </c>
      <c r="U6" s="11">
        <f>+B6-E6-G6-Q6-S6-K6-I6-M6-O6</f>
        <v/>
      </c>
    </row>
    <row r="7" customFormat="1" s="2">
      <c r="A7" s="3" t="n"/>
      <c r="B7" s="38">
        <f>SUM(B4:B6)</f>
        <v/>
      </c>
      <c r="C7" s="3" t="n"/>
      <c r="D7" s="13">
        <f>SUM(D4:D6)</f>
        <v/>
      </c>
      <c r="E7" s="14">
        <f>SUM(E4:E6)</f>
        <v/>
      </c>
      <c r="F7" s="15">
        <f>SUM(F4:F6)</f>
        <v/>
      </c>
      <c r="G7" s="14">
        <f>SUM(G4:G6)</f>
        <v/>
      </c>
      <c r="H7" s="15">
        <f>SUM(H4:H6)</f>
        <v/>
      </c>
      <c r="I7" s="14">
        <f>SUM(I4:I6)</f>
        <v/>
      </c>
      <c r="J7" s="15">
        <f>SUM(J4:J6)</f>
        <v/>
      </c>
      <c r="K7" s="14">
        <f>SUM(K4:K6)</f>
        <v/>
      </c>
      <c r="L7" s="15">
        <f>SUM(L4:L6)</f>
        <v/>
      </c>
      <c r="M7" s="14">
        <f>SUM(M4:M6)</f>
        <v/>
      </c>
      <c r="N7" s="15">
        <f>SUM(N4:N6)</f>
        <v/>
      </c>
      <c r="O7" s="14">
        <f>SUM(O4:O6)</f>
        <v/>
      </c>
      <c r="P7" s="15">
        <f>SUM(P4:P6)</f>
        <v/>
      </c>
      <c r="Q7" s="14">
        <f>SUM(Q4:Q6)</f>
        <v/>
      </c>
      <c r="R7" s="15">
        <f>SUM(R4:R6)</f>
        <v/>
      </c>
      <c r="S7" s="14">
        <f>SUM(S4:S6)</f>
        <v/>
      </c>
      <c r="T7" s="15">
        <f>SUM(T4:T6)</f>
        <v/>
      </c>
      <c r="U7" s="11">
        <f>+B7-E7-G7-Q7-S7-K7-I7-M7-O7</f>
        <v/>
      </c>
    </row>
    <row r="8" ht="15" customFormat="1" customHeight="1" s="2" thickBot="1">
      <c r="A8" s="52" t="inlineStr">
        <is>
          <t>Actual Amount</t>
        </is>
      </c>
      <c r="B8" s="53" t="n"/>
      <c r="C8" s="16" t="n"/>
      <c r="D8" s="17" t="n"/>
      <c r="E8" s="18" t="n"/>
      <c r="F8" s="19" t="n">
        <v>0</v>
      </c>
      <c r="G8" s="18" t="n"/>
      <c r="H8" s="19" t="n">
        <v>64492.82</v>
      </c>
      <c r="I8" s="18" t="n"/>
      <c r="J8" s="19" t="n">
        <v>0</v>
      </c>
      <c r="K8" s="18" t="n"/>
      <c r="L8" s="19" t="n">
        <v>12234.72</v>
      </c>
      <c r="M8" s="20" t="n"/>
      <c r="N8" s="19" t="n">
        <v>94733.67</v>
      </c>
      <c r="O8" s="20" t="inlineStr"/>
      <c r="P8" s="19" t="n">
        <v>0</v>
      </c>
      <c r="Q8" s="18" t="n">
        <v>0</v>
      </c>
      <c r="R8" s="19" t="n">
        <v>132786</v>
      </c>
      <c r="S8" s="18" t="n"/>
      <c r="T8" s="19" t="n">
        <v>26198</v>
      </c>
      <c r="U8" s="17" t="n"/>
    </row>
    <row r="9" ht="15.6" customHeight="1" s="69" thickBot="1" thickTop="1">
      <c r="A9" s="48" t="inlineStr">
        <is>
          <t>Diffrence should be zero</t>
        </is>
      </c>
      <c r="B9" s="49" t="n"/>
      <c r="C9" s="49" t="n"/>
      <c r="D9" s="21" t="n"/>
      <c r="E9" s="21" t="n"/>
      <c r="F9" s="22">
        <f>+F7-F8</f>
        <v/>
      </c>
      <c r="G9" s="21" t="n"/>
      <c r="H9" s="22">
        <f>+H7-H8</f>
        <v/>
      </c>
      <c r="I9" s="21" t="n"/>
      <c r="J9" s="22">
        <f>+J7-J8</f>
        <v/>
      </c>
      <c r="K9" s="21" t="n"/>
      <c r="L9" s="22">
        <f>+L7-L8</f>
        <v/>
      </c>
      <c r="M9" s="22" t="n"/>
      <c r="N9" s="22">
        <f>+N7-N8</f>
        <v/>
      </c>
      <c r="O9" s="22" t="n"/>
      <c r="P9" s="22">
        <f>+P7-P8</f>
        <v/>
      </c>
      <c r="Q9" s="21" t="n"/>
      <c r="R9" s="22">
        <f>+R7-R8</f>
        <v/>
      </c>
      <c r="S9" s="21" t="n"/>
      <c r="T9" s="22">
        <f>+T7-T8</f>
        <v/>
      </c>
      <c r="U9" s="23" t="n"/>
    </row>
    <row r="10" ht="15" customHeight="1" s="69" thickTop="1">
      <c r="A10" s="24" t="n"/>
      <c r="B10" s="24" t="n">
        <v>0</v>
      </c>
      <c r="C10" s="24" t="n"/>
      <c r="D10" s="2" t="n"/>
      <c r="E10" s="2" t="n"/>
      <c r="F10" s="25" t="n"/>
      <c r="G10" s="2" t="n"/>
      <c r="H10" s="25" t="n"/>
      <c r="I10" s="2" t="n"/>
      <c r="J10" s="25" t="n"/>
      <c r="K10" s="2" t="n"/>
      <c r="L10" s="6" t="n"/>
      <c r="M10" s="2" t="n"/>
      <c r="N10" s="25" t="n"/>
      <c r="O10" s="25" t="n"/>
      <c r="P10" s="25" t="n"/>
      <c r="Q10" s="25" t="n"/>
      <c r="R10" s="25" t="n"/>
      <c r="S10" s="2" t="n"/>
      <c r="T10" s="25" t="n"/>
      <c r="U10" s="2" t="n"/>
    </row>
    <row r="11">
      <c r="A11" s="26" t="inlineStr">
        <is>
          <t>sales value diff</t>
        </is>
      </c>
      <c r="D11" s="27">
        <f>+D7-F8-H8-L8-J8-R8-T8-N8-P8</f>
        <v/>
      </c>
      <c r="F11" s="72" t="n"/>
      <c r="M11" s="72" t="n"/>
    </row>
    <row r="12">
      <c r="F12" s="72" t="n"/>
      <c r="G12" s="72" t="n"/>
      <c r="H12" s="29" t="inlineStr">
        <is>
          <t>Petrol</t>
        </is>
      </c>
      <c r="I12" s="29" t="inlineStr">
        <is>
          <t>Diesal</t>
        </is>
      </c>
      <c r="J12" s="29" t="inlineStr">
        <is>
          <t>Power</t>
        </is>
      </c>
    </row>
    <row r="13">
      <c r="A13" s="58" t="inlineStr">
        <is>
          <t>CREDIT DETAIL</t>
        </is>
      </c>
      <c r="B13" s="59" t="n"/>
      <c r="C13" s="59" t="n"/>
      <c r="D13" s="59" t="n"/>
      <c r="E13" s="59" t="n"/>
      <c r="F13" s="57" t="n"/>
      <c r="H13" s="79" t="n">
        <v>77024</v>
      </c>
      <c r="I13" s="80" t="n">
        <v>63743</v>
      </c>
      <c r="J13" s="79" t="n">
        <v>4924</v>
      </c>
    </row>
    <row r="14">
      <c r="A14" s="29" t="inlineStr">
        <is>
          <t>particular</t>
        </is>
      </c>
      <c r="B14" s="29" t="inlineStr">
        <is>
          <t xml:space="preserve">Type </t>
        </is>
      </c>
      <c r="C14" s="31" t="inlineStr">
        <is>
          <t>QTY</t>
        </is>
      </c>
      <c r="D14" s="31" t="inlineStr">
        <is>
          <t>RATE</t>
        </is>
      </c>
      <c r="E14" s="31" t="inlineStr">
        <is>
          <t>AMOUNT</t>
        </is>
      </c>
      <c r="F14" s="32" t="inlineStr">
        <is>
          <t>inv no</t>
        </is>
      </c>
      <c r="H14" s="79" t="n">
        <v>119877</v>
      </c>
      <c r="I14" s="80" t="n">
        <v>64891</v>
      </c>
      <c r="J14" s="79" t="n"/>
      <c r="K14" s="74" t="n"/>
      <c r="L14" s="74" t="n"/>
      <c r="M14" s="74" t="n"/>
    </row>
    <row r="15">
      <c r="A15" s="33" t="inlineStr">
        <is>
          <t>mk Soler</t>
        </is>
      </c>
      <c r="B15" s="34" t="inlineStr">
        <is>
          <t>diesal</t>
        </is>
      </c>
      <c r="C15" s="29">
        <f>+E15/D15</f>
        <v/>
      </c>
      <c r="D15" s="79">
        <f>+VLOOKUP(B15,A$4:C$6,3,0)</f>
        <v/>
      </c>
      <c r="E15" s="81" t="n">
        <v>2819.06</v>
      </c>
      <c r="F15" s="34" t="n">
        <v>21452</v>
      </c>
      <c r="H15" s="80" t="n"/>
      <c r="I15" s="80" t="n"/>
      <c r="J15" s="80" t="n"/>
      <c r="K15" s="72" t="n"/>
    </row>
    <row r="16">
      <c r="A16" s="33" t="inlineStr">
        <is>
          <t>mool Chand yadav</t>
        </is>
      </c>
      <c r="B16" s="34" t="inlineStr">
        <is>
          <t>diesal</t>
        </is>
      </c>
      <c r="C16" s="29">
        <f>+E16/D16</f>
        <v/>
      </c>
      <c r="D16" s="79">
        <f>+VLOOKUP(B16,A$4:C$6,3,0)</f>
        <v/>
      </c>
      <c r="E16" s="81" t="n">
        <v>13931.12</v>
      </c>
      <c r="F16" s="34" t="n">
        <v>21453</v>
      </c>
      <c r="H16" s="79">
        <f>+H24/C4</f>
        <v/>
      </c>
      <c r="I16" s="43">
        <f>+I24/C5</f>
        <v/>
      </c>
      <c r="J16" s="43">
        <f>+J24/C6</f>
        <v/>
      </c>
      <c r="K16" s="72" t="n"/>
      <c r="M16" s="72" t="n"/>
    </row>
    <row r="17">
      <c r="A17" s="33" t="inlineStr">
        <is>
          <t>Shyam Tran.</t>
        </is>
      </c>
      <c r="B17" s="34" t="inlineStr">
        <is>
          <t>diesal</t>
        </is>
      </c>
      <c r="C17" s="29">
        <f>+E17/D17</f>
        <v/>
      </c>
      <c r="D17" s="79">
        <f>+VLOOKUP(B17,A$4:C$6,3,0)</f>
        <v/>
      </c>
      <c r="E17" s="82" t="n">
        <v>4147.85</v>
      </c>
      <c r="F17" s="34" t="n">
        <v>21456</v>
      </c>
      <c r="H17" s="72" t="n"/>
      <c r="K17" s="72" t="n"/>
    </row>
    <row r="18">
      <c r="A18" s="33" t="n"/>
      <c r="B18" s="34" t="inlineStr">
        <is>
          <t>diesal</t>
        </is>
      </c>
      <c r="C18" s="29">
        <f>+E18/D18</f>
        <v/>
      </c>
      <c r="D18" s="79">
        <f>+VLOOKUP(B18,A$4:C$6,3,0)</f>
        <v/>
      </c>
      <c r="E18" s="82" t="n"/>
      <c r="F18" s="34" t="n"/>
    </row>
    <row r="19">
      <c r="A19" s="33" t="n"/>
      <c r="B19" s="34" t="inlineStr">
        <is>
          <t>diesal</t>
        </is>
      </c>
      <c r="C19" s="29">
        <f>+E19/D19</f>
        <v/>
      </c>
      <c r="D19" s="79">
        <f>+VLOOKUP(B19,A$4:C$6,3,0)</f>
        <v/>
      </c>
      <c r="E19" s="82" t="n"/>
      <c r="F19" s="39" t="n"/>
      <c r="K19" s="72" t="n"/>
      <c r="M19" s="72" t="n"/>
    </row>
    <row r="20">
      <c r="A20" s="33" t="n"/>
      <c r="B20" s="34" t="inlineStr">
        <is>
          <t>diesal</t>
        </is>
      </c>
      <c r="C20" s="29">
        <f>+E20/D20</f>
        <v/>
      </c>
      <c r="D20" s="79">
        <f>+VLOOKUP(B20,A$4:C$6,3,0)</f>
        <v/>
      </c>
      <c r="E20" s="82" t="n"/>
      <c r="F20" s="79" t="n"/>
      <c r="K20" s="72" t="n"/>
    </row>
    <row r="21">
      <c r="A21" s="33" t="n"/>
      <c r="B21" s="34" t="inlineStr">
        <is>
          <t>diesal</t>
        </is>
      </c>
      <c r="C21" s="29">
        <f>+E21/D21</f>
        <v/>
      </c>
      <c r="D21" s="79">
        <f>+VLOOKUP(B21,A$4:C$6,3,0)</f>
        <v/>
      </c>
      <c r="E21" s="82" t="n"/>
      <c r="F21" s="35" t="n"/>
      <c r="H21" s="71" t="n"/>
      <c r="K21" s="72" t="n"/>
      <c r="M21" s="72" t="n"/>
    </row>
    <row r="22">
      <c r="A22" s="33" t="n"/>
      <c r="B22" s="34" t="inlineStr">
        <is>
          <t>diesal</t>
        </is>
      </c>
      <c r="C22" s="29">
        <f>+E22/D22</f>
        <v/>
      </c>
      <c r="D22" s="79">
        <f>+VLOOKUP(B22,A$4:C$6,3,0)</f>
        <v/>
      </c>
      <c r="E22" s="82" t="n"/>
      <c r="F22" s="79" t="n"/>
    </row>
    <row r="23">
      <c r="A23" s="34" t="n"/>
      <c r="B23" s="34" t="inlineStr">
        <is>
          <t>diesal</t>
        </is>
      </c>
      <c r="C23" s="29">
        <f>+E23/D23</f>
        <v/>
      </c>
      <c r="D23" s="79">
        <f>+VLOOKUP(B23,A$4:C$6,3,0)</f>
        <v/>
      </c>
      <c r="E23" s="82" t="n"/>
      <c r="F23" s="79" t="n"/>
    </row>
    <row r="24">
      <c r="A24" s="34" t="n"/>
      <c r="B24" s="34" t="inlineStr">
        <is>
          <t>diesal</t>
        </is>
      </c>
      <c r="C24" s="29">
        <f>+E24/D24</f>
        <v/>
      </c>
      <c r="D24" s="79">
        <f>+VLOOKUP(B24,A$4:C$6,3,0)</f>
        <v/>
      </c>
      <c r="E24" s="29" t="n"/>
      <c r="F24" s="79" t="n"/>
      <c r="H24" s="72" t="n"/>
      <c r="I24" s="72" t="n"/>
      <c r="J24" s="72" t="n"/>
    </row>
    <row r="25">
      <c r="A25" s="34" t="n"/>
      <c r="B25" s="34" t="inlineStr">
        <is>
          <t>diesal</t>
        </is>
      </c>
      <c r="C25" s="29">
        <f>+E25/D25</f>
        <v/>
      </c>
      <c r="D25" s="79">
        <f>+VLOOKUP(B25,A$4:C$6,3,0)</f>
        <v/>
      </c>
      <c r="E25" s="29" t="n"/>
      <c r="F25" s="79" t="n"/>
      <c r="H25" s="72" t="n"/>
    </row>
    <row r="26">
      <c r="A26" s="79" t="n"/>
      <c r="B26" s="79" t="n"/>
      <c r="C26" s="29">
        <f>SUM(C15:C25)</f>
        <v/>
      </c>
      <c r="D26" s="29" t="n"/>
      <c r="E26" s="29">
        <f>SUM(E15:E25)</f>
        <v/>
      </c>
      <c r="F26" s="79" t="n"/>
    </row>
    <row r="50">
      <c r="E50" t="n">
        <v>9</v>
      </c>
    </row>
  </sheetData>
  <mergeCells count="16">
    <mergeCell ref="O2:P2"/>
    <mergeCell ref="M2:N2"/>
    <mergeCell ref="S2:T2"/>
    <mergeCell ref="Q2:R2"/>
    <mergeCell ref="A13:F13"/>
    <mergeCell ref="G2:H2"/>
    <mergeCell ref="E2:F2"/>
    <mergeCell ref="K2:L2"/>
    <mergeCell ref="I2:J2"/>
    <mergeCell ref="U2:U3"/>
    <mergeCell ref="C2:C3"/>
    <mergeCell ref="A9:C9"/>
    <mergeCell ref="B2:B3"/>
    <mergeCell ref="A2:A3"/>
    <mergeCell ref="D2:D3"/>
    <mergeCell ref="A8:B8"/>
  </mergeCell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X50"/>
  <sheetViews>
    <sheetView workbookViewId="0">
      <selection activeCell="A1" sqref="A1"/>
    </sheetView>
  </sheetViews>
  <sheetFormatPr baseColWidth="8" defaultColWidth="9.109375" defaultRowHeight="14.4"/>
  <cols>
    <col width="13.109375" customWidth="1" style="69" min="1" max="1"/>
    <col width="12" customWidth="1" style="69" min="2" max="2"/>
    <col width="12" customWidth="1" style="69" min="4" max="4"/>
    <col width="13.109375" customWidth="1" style="69" min="5" max="5"/>
    <col width="14" customWidth="1" style="69" min="6" max="6"/>
    <col width="10.109375" customWidth="1" style="69" min="7" max="7"/>
    <col width="10.6640625" customWidth="1" style="69" min="8" max="8"/>
    <col width="9.5546875" customWidth="1" style="69" min="9" max="9"/>
    <col width="10.6640625" customWidth="1" style="69" min="10" max="14"/>
    <col width="13.44140625" customWidth="1" style="69" min="15" max="15"/>
    <col width="11.88671875" customWidth="1" style="69" min="16" max="16"/>
    <col width="10.6640625" customWidth="1" style="69" min="18" max="18"/>
    <col width="9.5546875" customWidth="1" style="69" min="19" max="19"/>
    <col width="10.6640625" customWidth="1" style="69" min="20" max="20"/>
    <col width="9.6640625" customWidth="1" style="69" min="21" max="21"/>
    <col width="12.5546875" customWidth="1" style="69" min="23" max="23"/>
    <col width="12" customWidth="1" style="69" min="24" max="24"/>
  </cols>
  <sheetData>
    <row r="1" ht="18.6" customHeight="1" s="69"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</row>
    <row r="2" ht="18.6" customHeight="1" s="69">
      <c r="A2" s="47" t="inlineStr">
        <is>
          <t>Particular</t>
        </is>
      </c>
      <c r="B2" s="47" t="inlineStr">
        <is>
          <t>Qty</t>
        </is>
      </c>
      <c r="C2" s="47" t="inlineStr">
        <is>
          <t>Rate</t>
        </is>
      </c>
      <c r="D2" s="50" t="inlineStr">
        <is>
          <t>Amount</t>
        </is>
      </c>
      <c r="E2" s="56" t="inlineStr">
        <is>
          <t>Pos SBI</t>
        </is>
      </c>
      <c r="F2" s="57" t="n"/>
      <c r="G2" s="56" t="inlineStr">
        <is>
          <t>Paytm</t>
        </is>
      </c>
      <c r="H2" s="57" t="n"/>
      <c r="I2" s="56" t="inlineStr">
        <is>
          <t>HP Card</t>
        </is>
      </c>
      <c r="J2" s="57" t="n"/>
      <c r="K2" s="56" t="inlineStr">
        <is>
          <t>ICICI</t>
        </is>
      </c>
      <c r="L2" s="57" t="n"/>
      <c r="M2" s="56" t="inlineStr">
        <is>
          <t>phone pe</t>
        </is>
      </c>
      <c r="N2" s="57" t="n"/>
      <c r="O2" s="54" t="inlineStr">
        <is>
          <t>mobiquick</t>
        </is>
      </c>
      <c r="P2" s="55" t="n"/>
      <c r="Q2" s="56" t="inlineStr">
        <is>
          <t xml:space="preserve">CASH </t>
        </is>
      </c>
      <c r="R2" s="57" t="n"/>
      <c r="S2" s="56" t="inlineStr">
        <is>
          <t>Credit</t>
        </is>
      </c>
      <c r="T2" s="57" t="n"/>
      <c r="U2" s="45" t="inlineStr">
        <is>
          <t>Qty Diffrence</t>
        </is>
      </c>
      <c r="W2" s="2" t="n"/>
      <c r="X2" s="2" t="n"/>
    </row>
    <row r="3" ht="18.6" customHeight="1" s="69">
      <c r="A3" s="46" t="n"/>
      <c r="B3" s="46" t="n"/>
      <c r="C3" s="46" t="n"/>
      <c r="D3" s="51" t="n"/>
      <c r="E3" s="56" t="inlineStr">
        <is>
          <t>Qty</t>
        </is>
      </c>
      <c r="F3" s="41" t="inlineStr">
        <is>
          <t>Amount</t>
        </is>
      </c>
      <c r="G3" s="56" t="inlineStr">
        <is>
          <t>Qty</t>
        </is>
      </c>
      <c r="H3" s="41" t="inlineStr">
        <is>
          <t>Amount</t>
        </is>
      </c>
      <c r="I3" s="56" t="inlineStr">
        <is>
          <t>Qty</t>
        </is>
      </c>
      <c r="J3" s="41" t="inlineStr">
        <is>
          <t>Amount</t>
        </is>
      </c>
      <c r="K3" s="56" t="inlineStr">
        <is>
          <t>Qty</t>
        </is>
      </c>
      <c r="L3" s="41" t="inlineStr">
        <is>
          <t>Amount</t>
        </is>
      </c>
      <c r="M3" s="56" t="inlineStr">
        <is>
          <t>Qty</t>
        </is>
      </c>
      <c r="N3" s="41" t="inlineStr">
        <is>
          <t>Amount</t>
        </is>
      </c>
      <c r="O3" s="56" t="inlineStr">
        <is>
          <t>Qty</t>
        </is>
      </c>
      <c r="P3" s="41" t="inlineStr">
        <is>
          <t>Amount</t>
        </is>
      </c>
      <c r="Q3" s="56" t="inlineStr">
        <is>
          <t>Qty</t>
        </is>
      </c>
      <c r="R3" s="41" t="inlineStr">
        <is>
          <t>Amount</t>
        </is>
      </c>
      <c r="S3" s="56" t="inlineStr">
        <is>
          <t>Qty</t>
        </is>
      </c>
      <c r="T3" s="41" t="inlineStr">
        <is>
          <t>Amount</t>
        </is>
      </c>
      <c r="U3" s="46" t="n"/>
      <c r="W3" s="2" t="inlineStr">
        <is>
          <t>diesal</t>
        </is>
      </c>
      <c r="X3" s="2">
        <f>+SUMIFS(C15:C25,B15:B25,W3)</f>
        <v/>
      </c>
    </row>
    <row r="4" customFormat="1" s="2">
      <c r="A4" s="3" t="inlineStr">
        <is>
          <t>Petrol</t>
        </is>
      </c>
      <c r="B4" s="12">
        <f>+(H13+H14+H15)/$C$4</f>
        <v/>
      </c>
      <c r="C4" s="4" t="n">
        <v>104.71</v>
      </c>
      <c r="D4" s="5">
        <f>B4*C4</f>
        <v/>
      </c>
      <c r="E4" s="6" t="n">
        <v>0</v>
      </c>
      <c r="F4" s="7">
        <f>+E4*C4</f>
        <v/>
      </c>
      <c r="G4" s="9">
        <f>+(H8*60%)/$C$4</f>
        <v/>
      </c>
      <c r="H4" s="7">
        <f>+G4*C4</f>
        <v/>
      </c>
      <c r="I4" s="6">
        <f>J4/C4</f>
        <v/>
      </c>
      <c r="J4" s="7" t="n">
        <v>0</v>
      </c>
      <c r="K4" s="8">
        <f>+L8/$C$4</f>
        <v/>
      </c>
      <c r="L4" s="7">
        <f>+K4*C4</f>
        <v/>
      </c>
      <c r="M4" s="9">
        <f>+(N8*60%)/$C$4</f>
        <v/>
      </c>
      <c r="N4" s="7">
        <f>+M4*C4</f>
        <v/>
      </c>
      <c r="O4" s="9" t="n"/>
      <c r="P4" s="7">
        <f>+O4*C4</f>
        <v/>
      </c>
      <c r="Q4" s="6" t="n">
        <v>587.4193677776717</v>
      </c>
      <c r="R4" s="7">
        <f>+Q4*C4</f>
        <v/>
      </c>
      <c r="S4" s="10">
        <f>+X4</f>
        <v/>
      </c>
      <c r="T4" s="7">
        <f>+S4*C4</f>
        <v/>
      </c>
      <c r="U4" s="11">
        <f>+B4-E4-G4-Q4-S4-K4-I4-M4-O4</f>
        <v/>
      </c>
      <c r="W4" t="inlineStr">
        <is>
          <t>petrol</t>
        </is>
      </c>
      <c r="X4" s="2">
        <f>+SUMIFS(C15:C26,B15:B26,W4)</f>
        <v/>
      </c>
    </row>
    <row r="5" customFormat="1" s="2">
      <c r="A5" s="3" t="inlineStr">
        <is>
          <t>Diesal</t>
        </is>
      </c>
      <c r="B5" s="12">
        <f>+(I13+I14+I15)/$C$5</f>
        <v/>
      </c>
      <c r="C5" s="4" t="n">
        <v>90.20999999999999</v>
      </c>
      <c r="D5" s="5">
        <f>B5*C5</f>
        <v/>
      </c>
      <c r="E5" s="6" t="n">
        <v>0</v>
      </c>
      <c r="F5" s="7">
        <f>+E5*C5</f>
        <v/>
      </c>
      <c r="G5" s="6">
        <f>+(H8*40%)/$C$5</f>
        <v/>
      </c>
      <c r="H5" s="7">
        <f>+G5*C5</f>
        <v/>
      </c>
      <c r="I5" s="6">
        <f>+J8/C5</f>
        <v/>
      </c>
      <c r="J5" s="7">
        <f>+I5*C5</f>
        <v/>
      </c>
      <c r="K5" s="6" t="n">
        <v>0</v>
      </c>
      <c r="L5" s="7">
        <f>+K5*C5</f>
        <v/>
      </c>
      <c r="M5" s="6">
        <f>+(N8*40%)/$C$5</f>
        <v/>
      </c>
      <c r="N5" s="7">
        <f>+M5*C5</f>
        <v/>
      </c>
      <c r="O5" s="9">
        <f>+P8/C5</f>
        <v/>
      </c>
      <c r="P5" s="7">
        <f>+O5*C5</f>
        <v/>
      </c>
      <c r="Q5" s="6" t="n">
        <v>664.8889036692162</v>
      </c>
      <c r="R5" s="7">
        <f>+Q5*C5</f>
        <v/>
      </c>
      <c r="S5" s="10">
        <f>+X3</f>
        <v/>
      </c>
      <c r="T5" s="7">
        <f>+S5*C5</f>
        <v/>
      </c>
      <c r="U5" s="11">
        <f>+B5-E5-G5-Q5-S5-K5-I5-M5-O5</f>
        <v/>
      </c>
      <c r="W5" t="inlineStr">
        <is>
          <t>Petrol Power</t>
        </is>
      </c>
      <c r="X5" s="2">
        <f>+SUMIFS(C17:C27,B17:B27,W5)</f>
        <v/>
      </c>
    </row>
    <row r="6" customFormat="1" s="2">
      <c r="A6" s="3" t="inlineStr">
        <is>
          <t>Petrol Power</t>
        </is>
      </c>
      <c r="B6" s="12">
        <f>+(J13+J14+J15)/$C$6</f>
        <v/>
      </c>
      <c r="C6" s="4" t="n">
        <v>112.8</v>
      </c>
      <c r="D6" s="5">
        <f>B6*C6</f>
        <v/>
      </c>
      <c r="E6" s="6" t="n">
        <v>0</v>
      </c>
      <c r="F6" s="7">
        <f>+E6*C6</f>
        <v/>
      </c>
      <c r="G6" s="6" t="n"/>
      <c r="H6" s="7">
        <f>+G6*C6</f>
        <v/>
      </c>
      <c r="I6" s="6" t="n">
        <v>0</v>
      </c>
      <c r="J6" s="7">
        <f>+I6*C6</f>
        <v/>
      </c>
      <c r="K6" s="6" t="n">
        <v>0</v>
      </c>
      <c r="L6" s="7">
        <f>+K6*C6</f>
        <v/>
      </c>
      <c r="M6" s="9" t="n">
        <v>0</v>
      </c>
      <c r="N6" s="7">
        <f>+M6*C6</f>
        <v/>
      </c>
      <c r="O6" s="9" t="n"/>
      <c r="P6" s="7">
        <f>+O6*C6</f>
        <v/>
      </c>
      <c r="Q6" s="6" t="n">
        <v>83.41312056737588</v>
      </c>
      <c r="R6" s="7">
        <f>+Q6*C6</f>
        <v/>
      </c>
      <c r="S6" s="10">
        <f>+X5</f>
        <v/>
      </c>
      <c r="T6" s="7">
        <f>+S6*C6</f>
        <v/>
      </c>
      <c r="U6" s="11">
        <f>+B6-E6-G6-Q6-S6-K6-I6-M6-O6</f>
        <v/>
      </c>
    </row>
    <row r="7" customFormat="1" s="2">
      <c r="A7" s="3" t="n"/>
      <c r="B7" s="38">
        <f>SUM(B4:B6)</f>
        <v/>
      </c>
      <c r="C7" s="3" t="n"/>
      <c r="D7" s="13">
        <f>SUM(D4:D6)</f>
        <v/>
      </c>
      <c r="E7" s="14">
        <f>SUM(E4:E6)</f>
        <v/>
      </c>
      <c r="F7" s="15">
        <f>SUM(F4:F6)</f>
        <v/>
      </c>
      <c r="G7" s="14">
        <f>SUM(G4:G6)</f>
        <v/>
      </c>
      <c r="H7" s="15">
        <f>SUM(H4:H6)</f>
        <v/>
      </c>
      <c r="I7" s="14">
        <f>SUM(I4:I6)</f>
        <v/>
      </c>
      <c r="J7" s="15">
        <f>SUM(J4:J6)</f>
        <v/>
      </c>
      <c r="K7" s="14">
        <f>SUM(K4:K6)</f>
        <v/>
      </c>
      <c r="L7" s="15">
        <f>SUM(L4:L6)</f>
        <v/>
      </c>
      <c r="M7" s="14">
        <f>SUM(M4:M6)</f>
        <v/>
      </c>
      <c r="N7" s="15">
        <f>SUM(N4:N6)</f>
        <v/>
      </c>
      <c r="O7" s="14">
        <f>SUM(O4:O6)</f>
        <v/>
      </c>
      <c r="P7" s="15">
        <f>SUM(P4:P6)</f>
        <v/>
      </c>
      <c r="Q7" s="14">
        <f>SUM(Q4:Q6)</f>
        <v/>
      </c>
      <c r="R7" s="15">
        <f>SUM(R4:R6)</f>
        <v/>
      </c>
      <c r="S7" s="14">
        <f>SUM(S4:S6)</f>
        <v/>
      </c>
      <c r="T7" s="15">
        <f>SUM(T4:T6)</f>
        <v/>
      </c>
      <c r="U7" s="11">
        <f>+B7-E7-G7-Q7-S7-K7-I7-M7-O7</f>
        <v/>
      </c>
    </row>
    <row r="8" ht="15" customFormat="1" customHeight="1" s="2" thickBot="1">
      <c r="A8" s="52" t="inlineStr">
        <is>
          <t>Actual Amount</t>
        </is>
      </c>
      <c r="B8" s="53" t="n"/>
      <c r="C8" s="16" t="n"/>
      <c r="D8" s="17" t="n"/>
      <c r="E8" s="18" t="n"/>
      <c r="F8" s="19" t="n">
        <v>0</v>
      </c>
      <c r="G8" s="18" t="n"/>
      <c r="H8" s="19" t="n">
        <v>59127.69</v>
      </c>
      <c r="I8" s="18" t="n"/>
      <c r="J8" s="19" t="n">
        <v>0</v>
      </c>
      <c r="K8" s="18" t="n"/>
      <c r="L8" s="19" t="n">
        <v>26130.3</v>
      </c>
      <c r="M8" s="20" t="n"/>
      <c r="N8" s="19" t="n">
        <v>84962.34</v>
      </c>
      <c r="O8" s="20" t="inlineStr"/>
      <c r="P8" s="19" t="n">
        <v>0</v>
      </c>
      <c r="Q8" s="18" t="n">
        <v>0</v>
      </c>
      <c r="R8" s="19" t="n">
        <v>126334</v>
      </c>
      <c r="S8" s="18" t="n"/>
      <c r="T8" s="19" t="n">
        <v>30002</v>
      </c>
      <c r="U8" s="17" t="n"/>
    </row>
    <row r="9" ht="15.6" customHeight="1" s="69" thickBot="1" thickTop="1">
      <c r="A9" s="48" t="inlineStr">
        <is>
          <t>Diffrence should be zero</t>
        </is>
      </c>
      <c r="B9" s="49" t="n"/>
      <c r="C9" s="49" t="n"/>
      <c r="D9" s="21" t="n"/>
      <c r="E9" s="21" t="n"/>
      <c r="F9" s="22">
        <f>+F7-F8</f>
        <v/>
      </c>
      <c r="G9" s="21" t="n"/>
      <c r="H9" s="22">
        <f>+H7-H8</f>
        <v/>
      </c>
      <c r="I9" s="21" t="n"/>
      <c r="J9" s="22">
        <f>+J7-J8</f>
        <v/>
      </c>
      <c r="K9" s="21" t="n"/>
      <c r="L9" s="22">
        <f>+L7-L8</f>
        <v/>
      </c>
      <c r="M9" s="22" t="n"/>
      <c r="N9" s="22">
        <f>+N7-N8</f>
        <v/>
      </c>
      <c r="O9" s="22" t="n"/>
      <c r="P9" s="22">
        <f>+P7-P8</f>
        <v/>
      </c>
      <c r="Q9" s="21" t="n"/>
      <c r="R9" s="22">
        <f>+R7-R8</f>
        <v/>
      </c>
      <c r="S9" s="21" t="n"/>
      <c r="T9" s="22">
        <f>+T7-T8</f>
        <v/>
      </c>
      <c r="U9" s="23" t="n"/>
    </row>
    <row r="10" ht="15" customHeight="1" s="69" thickTop="1">
      <c r="A10" s="24" t="n"/>
      <c r="B10" s="24" t="n">
        <v>0</v>
      </c>
      <c r="C10" s="24" t="n"/>
      <c r="D10" s="2" t="n"/>
      <c r="E10" s="2" t="n"/>
      <c r="F10" s="25" t="n"/>
      <c r="G10" s="2" t="n"/>
      <c r="H10" s="25" t="n"/>
      <c r="I10" s="2" t="n"/>
      <c r="J10" s="25" t="n"/>
      <c r="K10" s="2" t="n"/>
      <c r="L10" s="6" t="n"/>
      <c r="M10" s="2" t="n"/>
      <c r="N10" s="25" t="n"/>
      <c r="O10" s="25" t="n"/>
      <c r="P10" s="25" t="n"/>
      <c r="Q10" s="25" t="n"/>
      <c r="R10" s="25" t="n"/>
      <c r="S10" s="2" t="n"/>
      <c r="T10" s="25" t="n"/>
      <c r="U10" s="2" t="n"/>
    </row>
    <row r="11">
      <c r="A11" s="26" t="inlineStr">
        <is>
          <t>sales value diff</t>
        </is>
      </c>
      <c r="D11" s="27">
        <f>+D7-F8-H8-L8-J8-R8-T8-N8-P8</f>
        <v/>
      </c>
      <c r="F11" s="72" t="n"/>
      <c r="M11" s="72" t="n"/>
    </row>
    <row r="12">
      <c r="F12" s="72" t="n"/>
      <c r="G12" s="72" t="n"/>
      <c r="H12" s="29" t="inlineStr">
        <is>
          <t>Petrol</t>
        </is>
      </c>
      <c r="I12" s="29" t="inlineStr">
        <is>
          <t>Diesal</t>
        </is>
      </c>
      <c r="J12" s="29" t="inlineStr">
        <is>
          <t>Power</t>
        </is>
      </c>
    </row>
    <row r="13">
      <c r="A13" s="58" t="inlineStr">
        <is>
          <t>CREDIT DETAIL</t>
        </is>
      </c>
      <c r="B13" s="59" t="n"/>
      <c r="C13" s="59" t="n"/>
      <c r="D13" s="59" t="n"/>
      <c r="E13" s="59" t="n"/>
      <c r="F13" s="57" t="n"/>
      <c r="H13" s="79" t="n">
        <v>73464</v>
      </c>
      <c r="I13" s="80" t="n">
        <v>47951</v>
      </c>
      <c r="J13" s="79" t="n">
        <v>9409</v>
      </c>
    </row>
    <row r="14">
      <c r="A14" s="29" t="inlineStr">
        <is>
          <t>particular</t>
        </is>
      </c>
      <c r="B14" s="29" t="inlineStr">
        <is>
          <t xml:space="preserve">Type </t>
        </is>
      </c>
      <c r="C14" s="31" t="inlineStr">
        <is>
          <t>QTY</t>
        </is>
      </c>
      <c r="D14" s="31" t="inlineStr">
        <is>
          <t>RATE</t>
        </is>
      </c>
      <c r="E14" s="31" t="inlineStr">
        <is>
          <t>AMOUNT</t>
        </is>
      </c>
      <c r="F14" s="32" t="inlineStr">
        <is>
          <t>inv no</t>
        </is>
      </c>
      <c r="H14" s="79" t="n">
        <v>100629</v>
      </c>
      <c r="I14" s="80" t="n">
        <v>95167</v>
      </c>
      <c r="J14" s="79" t="n"/>
      <c r="K14" s="74" t="n"/>
      <c r="L14" s="74" t="n"/>
      <c r="M14" s="74" t="n"/>
    </row>
    <row r="15">
      <c r="A15" s="33" t="inlineStr">
        <is>
          <t>Sita Devi</t>
        </is>
      </c>
      <c r="B15" s="34" t="inlineStr">
        <is>
          <t>diesal</t>
        </is>
      </c>
      <c r="C15" s="29">
        <f>+E15/D15</f>
        <v/>
      </c>
      <c r="D15" s="79">
        <f>+VLOOKUP(B15,A$4:C$6,3,0)</f>
        <v/>
      </c>
      <c r="E15" s="81" t="n">
        <v>19002.73</v>
      </c>
      <c r="F15" s="34" t="n">
        <v>21457</v>
      </c>
      <c r="H15" s="80" t="n"/>
      <c r="I15" s="80" t="n"/>
      <c r="J15" s="80" t="n"/>
      <c r="K15" s="72" t="n"/>
    </row>
    <row r="16">
      <c r="A16" s="33" t="inlineStr">
        <is>
          <t>monu</t>
        </is>
      </c>
      <c r="B16" s="34" t="inlineStr">
        <is>
          <t>diesal</t>
        </is>
      </c>
      <c r="C16" s="29">
        <f>+E16/D16</f>
        <v/>
      </c>
      <c r="D16" s="79">
        <f>+VLOOKUP(B16,A$4:C$6,3,0)</f>
        <v/>
      </c>
      <c r="E16" s="81" t="n">
        <v>6499.63</v>
      </c>
      <c r="F16" s="34" t="n">
        <v>21458</v>
      </c>
      <c r="H16" s="79">
        <f>+H24/C4</f>
        <v/>
      </c>
      <c r="I16" s="43">
        <f>+I24/C5</f>
        <v/>
      </c>
      <c r="J16" s="43">
        <f>+J24/C6</f>
        <v/>
      </c>
      <c r="K16" s="72" t="n"/>
      <c r="M16" s="72" t="n"/>
    </row>
    <row r="17">
      <c r="A17" s="33" t="n"/>
      <c r="B17" s="34" t="inlineStr">
        <is>
          <t>diesal</t>
        </is>
      </c>
      <c r="C17" s="29">
        <f>+E17/D17</f>
        <v/>
      </c>
      <c r="D17" s="79">
        <f>+VLOOKUP(B17,A$4:C$6,3,0)</f>
        <v/>
      </c>
      <c r="E17" s="82" t="n"/>
      <c r="F17" s="34" t="n"/>
      <c r="H17" s="72" t="n"/>
      <c r="K17" s="72" t="n"/>
    </row>
    <row r="18">
      <c r="A18" s="33" t="n"/>
      <c r="B18" s="34" t="inlineStr">
        <is>
          <t>diesal</t>
        </is>
      </c>
      <c r="C18" s="29">
        <f>+E18/D18</f>
        <v/>
      </c>
      <c r="D18" s="79">
        <f>+VLOOKUP(B18,A$4:C$6,3,0)</f>
        <v/>
      </c>
      <c r="E18" s="82" t="n"/>
      <c r="F18" s="34" t="n"/>
    </row>
    <row r="19">
      <c r="A19" s="33" t="n"/>
      <c r="B19" s="34" t="inlineStr">
        <is>
          <t>diesal</t>
        </is>
      </c>
      <c r="C19" s="29">
        <f>+E19/D19</f>
        <v/>
      </c>
      <c r="D19" s="79">
        <f>+VLOOKUP(B19,A$4:C$6,3,0)</f>
        <v/>
      </c>
      <c r="E19" s="82" t="n"/>
      <c r="F19" s="39" t="n"/>
      <c r="K19" s="72" t="n"/>
      <c r="M19" s="72" t="n"/>
    </row>
    <row r="20">
      <c r="A20" s="33" t="n"/>
      <c r="B20" s="34" t="inlineStr">
        <is>
          <t>diesal</t>
        </is>
      </c>
      <c r="C20" s="29">
        <f>+E20/D20</f>
        <v/>
      </c>
      <c r="D20" s="79">
        <f>+VLOOKUP(B20,A$4:C$6,3,0)</f>
        <v/>
      </c>
      <c r="E20" s="82" t="n"/>
      <c r="F20" s="79" t="n"/>
      <c r="K20" s="72" t="n"/>
    </row>
    <row r="21">
      <c r="A21" s="33" t="n"/>
      <c r="B21" s="34" t="inlineStr">
        <is>
          <t>diesal</t>
        </is>
      </c>
      <c r="C21" s="29">
        <f>+E21/D21</f>
        <v/>
      </c>
      <c r="D21" s="79">
        <f>+VLOOKUP(B21,A$4:C$6,3,0)</f>
        <v/>
      </c>
      <c r="E21" s="82" t="n"/>
      <c r="F21" s="35" t="n"/>
      <c r="H21" s="71" t="n"/>
      <c r="K21" s="72" t="n"/>
      <c r="M21" s="72" t="n"/>
    </row>
    <row r="22">
      <c r="A22" s="33" t="n"/>
      <c r="B22" s="34" t="inlineStr">
        <is>
          <t>diesal</t>
        </is>
      </c>
      <c r="C22" s="29">
        <f>+E22/D22</f>
        <v/>
      </c>
      <c r="D22" s="79">
        <f>+VLOOKUP(B22,A$4:C$6,3,0)</f>
        <v/>
      </c>
      <c r="E22" s="82" t="n"/>
      <c r="F22" s="79" t="n"/>
    </row>
    <row r="23">
      <c r="A23" s="34" t="n"/>
      <c r="B23" s="34" t="inlineStr">
        <is>
          <t>diesal</t>
        </is>
      </c>
      <c r="C23" s="29">
        <f>+E23/D23</f>
        <v/>
      </c>
      <c r="D23" s="79">
        <f>+VLOOKUP(B23,A$4:C$6,3,0)</f>
        <v/>
      </c>
      <c r="E23" s="82" t="n"/>
      <c r="F23" s="79" t="n"/>
    </row>
    <row r="24">
      <c r="A24" s="34" t="n"/>
      <c r="B24" s="34" t="inlineStr">
        <is>
          <t>diesal</t>
        </is>
      </c>
      <c r="C24" s="29">
        <f>+E24/D24</f>
        <v/>
      </c>
      <c r="D24" s="79">
        <f>+VLOOKUP(B24,A$4:C$6,3,0)</f>
        <v/>
      </c>
      <c r="E24" s="29" t="n"/>
      <c r="F24" s="79" t="n"/>
      <c r="H24" s="72" t="n"/>
      <c r="I24" s="72" t="n"/>
      <c r="J24" s="72" t="n"/>
    </row>
    <row r="25">
      <c r="A25" s="34" t="n"/>
      <c r="B25" s="34" t="inlineStr">
        <is>
          <t>diesal</t>
        </is>
      </c>
      <c r="C25" s="29">
        <f>+E25/D25</f>
        <v/>
      </c>
      <c r="D25" s="79">
        <f>+VLOOKUP(B25,A$4:C$6,3,0)</f>
        <v/>
      </c>
      <c r="E25" s="29" t="n"/>
      <c r="F25" s="79" t="n"/>
      <c r="H25" s="72" t="n"/>
    </row>
    <row r="26">
      <c r="A26" s="79" t="n"/>
      <c r="B26" s="79" t="n"/>
      <c r="C26" s="29">
        <f>SUM(C15:C25)</f>
        <v/>
      </c>
      <c r="D26" s="29" t="n"/>
      <c r="E26" s="29">
        <f>SUM(E15:E25)</f>
        <v/>
      </c>
      <c r="F26" s="79" t="n"/>
    </row>
    <row r="50">
      <c r="E50" t="n">
        <v>9</v>
      </c>
    </row>
  </sheetData>
  <mergeCells count="16">
    <mergeCell ref="O2:P2"/>
    <mergeCell ref="M2:N2"/>
    <mergeCell ref="S2:T2"/>
    <mergeCell ref="Q2:R2"/>
    <mergeCell ref="A13:F13"/>
    <mergeCell ref="G2:H2"/>
    <mergeCell ref="E2:F2"/>
    <mergeCell ref="K2:L2"/>
    <mergeCell ref="I2:J2"/>
    <mergeCell ref="U2:U3"/>
    <mergeCell ref="C2:C3"/>
    <mergeCell ref="A9:C9"/>
    <mergeCell ref="B2:B3"/>
    <mergeCell ref="A2:A3"/>
    <mergeCell ref="D2:D3"/>
    <mergeCell ref="A8:B8"/>
  </mergeCell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X50"/>
  <sheetViews>
    <sheetView workbookViewId="0">
      <selection activeCell="A1" sqref="A1"/>
    </sheetView>
  </sheetViews>
  <sheetFormatPr baseColWidth="8" defaultColWidth="9.109375" defaultRowHeight="14.4"/>
  <cols>
    <col width="13.109375" customWidth="1" style="69" min="1" max="1"/>
    <col width="12" customWidth="1" style="69" min="2" max="2"/>
    <col width="12" customWidth="1" style="69" min="4" max="4"/>
    <col width="13.109375" customWidth="1" style="69" min="5" max="5"/>
    <col width="14" customWidth="1" style="69" min="6" max="6"/>
    <col width="10.109375" customWidth="1" style="69" min="7" max="7"/>
    <col width="10.6640625" customWidth="1" style="69" min="8" max="8"/>
    <col width="9.5546875" customWidth="1" style="69" min="9" max="9"/>
    <col width="10.6640625" customWidth="1" style="69" min="10" max="14"/>
    <col width="13.44140625" customWidth="1" style="69" min="15" max="15"/>
    <col width="11.88671875" customWidth="1" style="69" min="16" max="16"/>
    <col width="10.6640625" customWidth="1" style="69" min="18" max="18"/>
    <col width="9.5546875" customWidth="1" style="69" min="19" max="19"/>
    <col width="10.6640625" customWidth="1" style="69" min="20" max="20"/>
    <col width="9.6640625" customWidth="1" style="69" min="21" max="21"/>
    <col width="12.5546875" customWidth="1" style="69" min="23" max="23"/>
    <col width="12" customWidth="1" style="69" min="24" max="24"/>
  </cols>
  <sheetData>
    <row r="1" ht="18.6" customHeight="1" s="69"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</row>
    <row r="2" ht="18.6" customHeight="1" s="69">
      <c r="A2" s="47" t="inlineStr">
        <is>
          <t>Particular</t>
        </is>
      </c>
      <c r="B2" s="47" t="inlineStr">
        <is>
          <t>Qty</t>
        </is>
      </c>
      <c r="C2" s="47" t="inlineStr">
        <is>
          <t>Rate</t>
        </is>
      </c>
      <c r="D2" s="50" t="inlineStr">
        <is>
          <t>Amount</t>
        </is>
      </c>
      <c r="E2" s="56" t="inlineStr">
        <is>
          <t>Pos SBI</t>
        </is>
      </c>
      <c r="F2" s="57" t="n"/>
      <c r="G2" s="56" t="inlineStr">
        <is>
          <t>Paytm</t>
        </is>
      </c>
      <c r="H2" s="57" t="n"/>
      <c r="I2" s="56" t="inlineStr">
        <is>
          <t>HP Card</t>
        </is>
      </c>
      <c r="J2" s="57" t="n"/>
      <c r="K2" s="56" t="inlineStr">
        <is>
          <t>ICICI</t>
        </is>
      </c>
      <c r="L2" s="57" t="n"/>
      <c r="M2" s="56" t="inlineStr">
        <is>
          <t>phone pe</t>
        </is>
      </c>
      <c r="N2" s="57" t="n"/>
      <c r="O2" s="54" t="inlineStr">
        <is>
          <t>mobiquick</t>
        </is>
      </c>
      <c r="P2" s="55" t="n"/>
      <c r="Q2" s="56" t="inlineStr">
        <is>
          <t xml:space="preserve">CASH </t>
        </is>
      </c>
      <c r="R2" s="57" t="n"/>
      <c r="S2" s="56" t="inlineStr">
        <is>
          <t>Credit</t>
        </is>
      </c>
      <c r="T2" s="57" t="n"/>
      <c r="U2" s="45" t="inlineStr">
        <is>
          <t>Qty Diffrence</t>
        </is>
      </c>
      <c r="W2" s="2" t="n"/>
      <c r="X2" s="2" t="n"/>
    </row>
    <row r="3" ht="18.6" customHeight="1" s="69">
      <c r="A3" s="46" t="n"/>
      <c r="B3" s="46" t="n"/>
      <c r="C3" s="46" t="n"/>
      <c r="D3" s="51" t="n"/>
      <c r="E3" s="56" t="inlineStr">
        <is>
          <t>Qty</t>
        </is>
      </c>
      <c r="F3" s="41" t="inlineStr">
        <is>
          <t>Amount</t>
        </is>
      </c>
      <c r="G3" s="56" t="inlineStr">
        <is>
          <t>Qty</t>
        </is>
      </c>
      <c r="H3" s="41" t="inlineStr">
        <is>
          <t>Amount</t>
        </is>
      </c>
      <c r="I3" s="56" t="inlineStr">
        <is>
          <t>Qty</t>
        </is>
      </c>
      <c r="J3" s="41" t="inlineStr">
        <is>
          <t>Amount</t>
        </is>
      </c>
      <c r="K3" s="56" t="inlineStr">
        <is>
          <t>Qty</t>
        </is>
      </c>
      <c r="L3" s="41" t="inlineStr">
        <is>
          <t>Amount</t>
        </is>
      </c>
      <c r="M3" s="56" t="inlineStr">
        <is>
          <t>Qty</t>
        </is>
      </c>
      <c r="N3" s="41" t="inlineStr">
        <is>
          <t>Amount</t>
        </is>
      </c>
      <c r="O3" s="56" t="inlineStr">
        <is>
          <t>Qty</t>
        </is>
      </c>
      <c r="P3" s="41" t="inlineStr">
        <is>
          <t>Amount</t>
        </is>
      </c>
      <c r="Q3" s="56" t="inlineStr">
        <is>
          <t>Qty</t>
        </is>
      </c>
      <c r="R3" s="41" t="inlineStr">
        <is>
          <t>Amount</t>
        </is>
      </c>
      <c r="S3" s="56" t="inlineStr">
        <is>
          <t>Qty</t>
        </is>
      </c>
      <c r="T3" s="41" t="inlineStr">
        <is>
          <t>Amount</t>
        </is>
      </c>
      <c r="U3" s="46" t="n"/>
      <c r="W3" s="2" t="inlineStr">
        <is>
          <t>diesal</t>
        </is>
      </c>
      <c r="X3" s="2">
        <f>+SUMIFS(C15:C25,B15:B25,W3)</f>
        <v/>
      </c>
    </row>
    <row r="4" customFormat="1" s="2">
      <c r="A4" s="3" t="inlineStr">
        <is>
          <t>Petrol</t>
        </is>
      </c>
      <c r="B4" s="12">
        <f>+(H13+H14+H15)/$C$4</f>
        <v/>
      </c>
      <c r="C4" s="4" t="n">
        <v>104.71</v>
      </c>
      <c r="D4" s="5">
        <f>B4*C4</f>
        <v/>
      </c>
      <c r="E4" s="6" t="n">
        <v>0</v>
      </c>
      <c r="F4" s="7">
        <f>+E4*C4</f>
        <v/>
      </c>
      <c r="G4" s="9">
        <f>+(H8*60%)/$C$4</f>
        <v/>
      </c>
      <c r="H4" s="7">
        <f>+G4*C4</f>
        <v/>
      </c>
      <c r="I4" s="6">
        <f>J4/C4</f>
        <v/>
      </c>
      <c r="J4" s="7" t="n">
        <v>0</v>
      </c>
      <c r="K4" s="8">
        <f>+L8/$C$4</f>
        <v/>
      </c>
      <c r="L4" s="7">
        <f>+K4*C4</f>
        <v/>
      </c>
      <c r="M4" s="9">
        <f>+(N8*60%)/$C$4</f>
        <v/>
      </c>
      <c r="N4" s="7">
        <f>+M4*C4</f>
        <v/>
      </c>
      <c r="O4" s="9" t="n"/>
      <c r="P4" s="7">
        <f>+O4*C4</f>
        <v/>
      </c>
      <c r="Q4" s="6" t="n">
        <v>928.2335784547799</v>
      </c>
      <c r="R4" s="7">
        <f>+Q4*C4</f>
        <v/>
      </c>
      <c r="S4" s="10">
        <f>+X4</f>
        <v/>
      </c>
      <c r="T4" s="7">
        <f>+S4*C4</f>
        <v/>
      </c>
      <c r="U4" s="11">
        <f>+B4-E4-G4-Q4-S4-K4-I4-M4-O4</f>
        <v/>
      </c>
      <c r="W4" t="inlineStr">
        <is>
          <t>petrol</t>
        </is>
      </c>
      <c r="X4" s="2">
        <f>+SUMIFS(C15:C26,B15:B26,W4)</f>
        <v/>
      </c>
    </row>
    <row r="5" customFormat="1" s="2">
      <c r="A5" s="3" t="inlineStr">
        <is>
          <t>Diesal</t>
        </is>
      </c>
      <c r="B5" s="12">
        <f>+(I13+I14+I15)/$C$5</f>
        <v/>
      </c>
      <c r="C5" s="4" t="n">
        <v>90.20999999999999</v>
      </c>
      <c r="D5" s="5">
        <f>B5*C5</f>
        <v/>
      </c>
      <c r="E5" s="6" t="n">
        <v>0</v>
      </c>
      <c r="F5" s="7">
        <f>+E5*C5</f>
        <v/>
      </c>
      <c r="G5" s="6">
        <f>+(H8*40%)/$C$5</f>
        <v/>
      </c>
      <c r="H5" s="7">
        <f>+G5*C5</f>
        <v/>
      </c>
      <c r="I5" s="6">
        <f>+J8/C5</f>
        <v/>
      </c>
      <c r="J5" s="7">
        <f>+I5*C5</f>
        <v/>
      </c>
      <c r="K5" s="6" t="n">
        <v>0</v>
      </c>
      <c r="L5" s="7">
        <f>+K5*C5</f>
        <v/>
      </c>
      <c r="M5" s="6">
        <f>+(N8*40%)/$C$5</f>
        <v/>
      </c>
      <c r="N5" s="7">
        <f>+M5*C5</f>
        <v/>
      </c>
      <c r="O5" s="9">
        <f>+P8/C5</f>
        <v/>
      </c>
      <c r="P5" s="7">
        <f>+O5*C5</f>
        <v/>
      </c>
      <c r="Q5" s="6" t="n">
        <v>665.1697372796809</v>
      </c>
      <c r="R5" s="7">
        <f>+Q5*C5</f>
        <v/>
      </c>
      <c r="S5" s="10">
        <f>+X3</f>
        <v/>
      </c>
      <c r="T5" s="7">
        <f>+S5*C5</f>
        <v/>
      </c>
      <c r="U5" s="11">
        <f>+B5-E5-G5-Q5-S5-K5-I5-M5-O5</f>
        <v/>
      </c>
      <c r="W5" t="inlineStr">
        <is>
          <t>Petrol Power</t>
        </is>
      </c>
      <c r="X5" s="2">
        <f>+SUMIFS(C17:C27,B17:B27,W5)</f>
        <v/>
      </c>
    </row>
    <row r="6" customFormat="1" s="2">
      <c r="A6" s="3" t="inlineStr">
        <is>
          <t>Petrol Power</t>
        </is>
      </c>
      <c r="B6" s="12">
        <f>+(J13+J14+J15)/$C$6</f>
        <v/>
      </c>
      <c r="C6" s="4" t="n">
        <v>112.8</v>
      </c>
      <c r="D6" s="5">
        <f>B6*C6</f>
        <v/>
      </c>
      <c r="E6" s="6" t="n">
        <v>0</v>
      </c>
      <c r="F6" s="7">
        <f>+E6*C6</f>
        <v/>
      </c>
      <c r="G6" s="6" t="n"/>
      <c r="H6" s="7">
        <f>+G6*C6</f>
        <v/>
      </c>
      <c r="I6" s="6" t="n">
        <v>0</v>
      </c>
      <c r="J6" s="7">
        <f>+I6*C6</f>
        <v/>
      </c>
      <c r="K6" s="6" t="n">
        <v>0</v>
      </c>
      <c r="L6" s="7">
        <f>+K6*C6</f>
        <v/>
      </c>
      <c r="M6" s="9" t="n">
        <v>0</v>
      </c>
      <c r="N6" s="7">
        <f>+M6*C6</f>
        <v/>
      </c>
      <c r="O6" s="9" t="n"/>
      <c r="P6" s="7">
        <f>+O6*C6</f>
        <v/>
      </c>
      <c r="Q6" s="6" t="n">
        <v>33.34219858156028</v>
      </c>
      <c r="R6" s="7">
        <f>+Q6*C6</f>
        <v/>
      </c>
      <c r="S6" s="10">
        <f>+X5</f>
        <v/>
      </c>
      <c r="T6" s="7">
        <f>+S6*C6</f>
        <v/>
      </c>
      <c r="U6" s="11">
        <f>+B6-E6-G6-Q6-S6-K6-I6-M6-O6</f>
        <v/>
      </c>
    </row>
    <row r="7" customFormat="1" s="2">
      <c r="A7" s="3" t="n"/>
      <c r="B7" s="38">
        <f>SUM(B4:B6)</f>
        <v/>
      </c>
      <c r="C7" s="3" t="n"/>
      <c r="D7" s="13">
        <f>SUM(D4:D6)</f>
        <v/>
      </c>
      <c r="E7" s="14">
        <f>SUM(E4:E6)</f>
        <v/>
      </c>
      <c r="F7" s="15">
        <f>SUM(F4:F6)</f>
        <v/>
      </c>
      <c r="G7" s="14">
        <f>SUM(G4:G6)</f>
        <v/>
      </c>
      <c r="H7" s="15">
        <f>SUM(H4:H6)</f>
        <v/>
      </c>
      <c r="I7" s="14">
        <f>SUM(I4:I6)</f>
        <v/>
      </c>
      <c r="J7" s="15">
        <f>SUM(J4:J6)</f>
        <v/>
      </c>
      <c r="K7" s="14">
        <f>SUM(K4:K6)</f>
        <v/>
      </c>
      <c r="L7" s="15">
        <f>SUM(L4:L6)</f>
        <v/>
      </c>
      <c r="M7" s="14">
        <f>SUM(M4:M6)</f>
        <v/>
      </c>
      <c r="N7" s="15">
        <f>SUM(N4:N6)</f>
        <v/>
      </c>
      <c r="O7" s="14">
        <f>SUM(O4:O6)</f>
        <v/>
      </c>
      <c r="P7" s="15">
        <f>SUM(P4:P6)</f>
        <v/>
      </c>
      <c r="Q7" s="14">
        <f>SUM(Q4:Q6)</f>
        <v/>
      </c>
      <c r="R7" s="15">
        <f>SUM(R4:R6)</f>
        <v/>
      </c>
      <c r="S7" s="14">
        <f>SUM(S4:S6)</f>
        <v/>
      </c>
      <c r="T7" s="15">
        <f>SUM(T4:T6)</f>
        <v/>
      </c>
      <c r="U7" s="11">
        <f>+B7-E7-G7-Q7-S7-K7-I7-M7-O7</f>
        <v/>
      </c>
    </row>
    <row r="8" ht="15" customFormat="1" customHeight="1" s="2" thickBot="1">
      <c r="A8" s="52" t="inlineStr">
        <is>
          <t>Actual Amount</t>
        </is>
      </c>
      <c r="B8" s="53" t="n"/>
      <c r="C8" s="16" t="n"/>
      <c r="D8" s="17" t="n"/>
      <c r="E8" s="18" t="n"/>
      <c r="F8" s="19" t="n">
        <v>0</v>
      </c>
      <c r="G8" s="18" t="n"/>
      <c r="H8" s="19" t="n">
        <v>70683.19</v>
      </c>
      <c r="I8" s="18" t="n"/>
      <c r="J8" s="19" t="n">
        <v>0</v>
      </c>
      <c r="K8" s="18" t="n"/>
      <c r="L8" s="19" t="n">
        <v>7086.35</v>
      </c>
      <c r="M8" s="20" t="n"/>
      <c r="N8" s="19" t="n">
        <v>73792.33</v>
      </c>
      <c r="O8" s="20" t="inlineStr"/>
      <c r="P8" s="19" t="n">
        <v>0</v>
      </c>
      <c r="Q8" s="18" t="n">
        <v>0</v>
      </c>
      <c r="R8" s="19" t="n">
        <v>150963</v>
      </c>
      <c r="S8" s="18" t="n"/>
      <c r="T8" s="19" t="n">
        <v>91493</v>
      </c>
      <c r="U8" s="17" t="n"/>
    </row>
    <row r="9" ht="15.6" customHeight="1" s="69" thickBot="1" thickTop="1">
      <c r="A9" s="48" t="inlineStr">
        <is>
          <t>Diffrence should be zero</t>
        </is>
      </c>
      <c r="B9" s="49" t="n"/>
      <c r="C9" s="49" t="n"/>
      <c r="D9" s="21" t="n"/>
      <c r="E9" s="21" t="n"/>
      <c r="F9" s="22">
        <f>+F7-F8</f>
        <v/>
      </c>
      <c r="G9" s="21" t="n"/>
      <c r="H9" s="22">
        <f>+H7-H8</f>
        <v/>
      </c>
      <c r="I9" s="21" t="n"/>
      <c r="J9" s="22">
        <f>+J7-J8</f>
        <v/>
      </c>
      <c r="K9" s="21" t="n"/>
      <c r="L9" s="22">
        <f>+L7-L8</f>
        <v/>
      </c>
      <c r="M9" s="22" t="n"/>
      <c r="N9" s="22">
        <f>+N7-N8</f>
        <v/>
      </c>
      <c r="O9" s="22" t="n"/>
      <c r="P9" s="22">
        <f>+P7-P8</f>
        <v/>
      </c>
      <c r="Q9" s="21" t="n"/>
      <c r="R9" s="22">
        <f>+R7-R8</f>
        <v/>
      </c>
      <c r="S9" s="21" t="n"/>
      <c r="T9" s="22">
        <f>+T7-T8</f>
        <v/>
      </c>
      <c r="U9" s="23" t="n"/>
    </row>
    <row r="10" ht="15" customHeight="1" s="69" thickTop="1">
      <c r="A10" s="24" t="n"/>
      <c r="B10" s="24" t="n">
        <v>0</v>
      </c>
      <c r="C10" s="24" t="n"/>
      <c r="D10" s="2" t="n"/>
      <c r="E10" s="2" t="n"/>
      <c r="F10" s="25" t="n"/>
      <c r="G10" s="2" t="n"/>
      <c r="H10" s="25" t="n"/>
      <c r="I10" s="2" t="n"/>
      <c r="J10" s="25" t="n"/>
      <c r="K10" s="2" t="n"/>
      <c r="L10" s="6" t="n"/>
      <c r="M10" s="2" t="n"/>
      <c r="N10" s="25" t="n"/>
      <c r="O10" s="25" t="n"/>
      <c r="P10" s="25" t="n"/>
      <c r="Q10" s="25" t="n"/>
      <c r="R10" s="25" t="n"/>
      <c r="S10" s="2" t="n"/>
      <c r="T10" s="25" t="n"/>
      <c r="U10" s="2" t="n"/>
    </row>
    <row r="11">
      <c r="A11" s="26" t="inlineStr">
        <is>
          <t>sales value diff</t>
        </is>
      </c>
      <c r="D11" s="27">
        <f>+D7-F8-H8-L8-J8-R8-T8-N8-P8</f>
        <v/>
      </c>
      <c r="F11" s="72" t="n"/>
      <c r="M11" s="72" t="n"/>
    </row>
    <row r="12">
      <c r="F12" s="72" t="n"/>
      <c r="G12" s="72" t="n"/>
      <c r="H12" s="29" t="inlineStr">
        <is>
          <t>Petrol</t>
        </is>
      </c>
      <c r="I12" s="29" t="inlineStr">
        <is>
          <t>Diesal</t>
        </is>
      </c>
      <c r="J12" s="29" t="inlineStr">
        <is>
          <t>Power</t>
        </is>
      </c>
    </row>
    <row r="13">
      <c r="A13" s="58" t="inlineStr">
        <is>
          <t>CREDIT DETAIL</t>
        </is>
      </c>
      <c r="B13" s="59" t="n"/>
      <c r="C13" s="59" t="n"/>
      <c r="D13" s="59" t="n"/>
      <c r="E13" s="59" t="n"/>
      <c r="F13" s="57" t="n"/>
      <c r="H13" s="79" t="n">
        <v>81577</v>
      </c>
      <c r="I13" s="80" t="n">
        <v>29827</v>
      </c>
      <c r="J13" s="79" t="n">
        <v>3761</v>
      </c>
    </row>
    <row r="14">
      <c r="A14" s="29" t="inlineStr">
        <is>
          <t>particular</t>
        </is>
      </c>
      <c r="B14" s="29" t="inlineStr">
        <is>
          <t xml:space="preserve">Type </t>
        </is>
      </c>
      <c r="C14" s="31" t="inlineStr">
        <is>
          <t>QTY</t>
        </is>
      </c>
      <c r="D14" s="31" t="inlineStr">
        <is>
          <t>RATE</t>
        </is>
      </c>
      <c r="E14" s="31" t="inlineStr">
        <is>
          <t>AMOUNT</t>
        </is>
      </c>
      <c r="F14" s="32" t="inlineStr">
        <is>
          <t>inv no</t>
        </is>
      </c>
      <c r="H14" s="79" t="n">
        <v>109390</v>
      </c>
      <c r="I14" s="80" t="n">
        <v>179461</v>
      </c>
      <c r="J14" s="79" t="n"/>
      <c r="K14" s="74" t="n"/>
      <c r="L14" s="74" t="n"/>
      <c r="M14" s="74" t="n"/>
    </row>
    <row r="15">
      <c r="A15" s="33" t="inlineStr">
        <is>
          <t>HP Photo Construction</t>
        </is>
      </c>
      <c r="B15" s="34" t="inlineStr">
        <is>
          <t>diesal</t>
        </is>
      </c>
      <c r="C15" s="29">
        <f>+E15/D15</f>
        <v/>
      </c>
      <c r="D15" s="79">
        <f>+VLOOKUP(B15,A$4:C$6,3,0)</f>
        <v/>
      </c>
      <c r="E15" s="81" t="n">
        <v>17516.97</v>
      </c>
      <c r="F15" s="34" t="n">
        <v>21460</v>
      </c>
      <c r="H15" s="80" t="n"/>
      <c r="I15" s="80" t="n"/>
      <c r="J15" s="80" t="n"/>
      <c r="K15" s="72" t="n"/>
    </row>
    <row r="16">
      <c r="A16" s="33" t="inlineStr">
        <is>
          <t>mool Chand yadav</t>
        </is>
      </c>
      <c r="B16" s="34" t="inlineStr">
        <is>
          <t>diesal</t>
        </is>
      </c>
      <c r="C16" s="29">
        <f>+E16/D16</f>
        <v/>
      </c>
      <c r="D16" s="79">
        <f>+VLOOKUP(B16,A$4:C$6,3,0)</f>
        <v/>
      </c>
      <c r="E16" s="81" t="n">
        <v>11206.78</v>
      </c>
      <c r="F16" s="34" t="n">
        <v>21461</v>
      </c>
      <c r="H16" s="79">
        <f>+H24/C4</f>
        <v/>
      </c>
      <c r="I16" s="43">
        <f>+I24/C5</f>
        <v/>
      </c>
      <c r="J16" s="43">
        <f>+J24/C6</f>
        <v/>
      </c>
      <c r="K16" s="72" t="n"/>
      <c r="M16" s="72" t="n"/>
    </row>
    <row r="17">
      <c r="A17" s="33" t="inlineStr">
        <is>
          <t>Sita Devi</t>
        </is>
      </c>
      <c r="B17" s="34" t="inlineStr">
        <is>
          <t>diesal</t>
        </is>
      </c>
      <c r="C17" s="29">
        <f>+E17/D17</f>
        <v/>
      </c>
      <c r="D17" s="79">
        <f>+VLOOKUP(B17,A$4:C$6,3,0)</f>
        <v/>
      </c>
      <c r="E17" s="82" t="n">
        <v>34250.03</v>
      </c>
      <c r="F17" s="34" t="n">
        <v>21463</v>
      </c>
      <c r="H17" s="72" t="n"/>
      <c r="K17" s="72" t="n"/>
    </row>
    <row r="18">
      <c r="A18" s="33" t="inlineStr">
        <is>
          <t>Shyam Tran.</t>
        </is>
      </c>
      <c r="B18" s="34" t="inlineStr">
        <is>
          <t>diesal</t>
        </is>
      </c>
      <c r="C18" s="29">
        <f>+E18/D18</f>
        <v/>
      </c>
      <c r="D18" s="79">
        <f>+VLOOKUP(B18,A$4:C$6,3,0)</f>
        <v/>
      </c>
      <c r="E18" s="82" t="n">
        <v>2305.78</v>
      </c>
      <c r="F18" s="34" t="n">
        <v>21464</v>
      </c>
    </row>
    <row r="19">
      <c r="A19" s="33" t="inlineStr">
        <is>
          <t>sayar School</t>
        </is>
      </c>
      <c r="B19" s="34" t="inlineStr">
        <is>
          <t>diesal</t>
        </is>
      </c>
      <c r="C19" s="29">
        <f>+E19/D19</f>
        <v/>
      </c>
      <c r="D19" s="79">
        <f>+VLOOKUP(B19,A$4:C$6,3,0)</f>
        <v/>
      </c>
      <c r="E19" s="82" t="n">
        <v>24308.88</v>
      </c>
      <c r="F19" s="39" t="n">
        <v>21465</v>
      </c>
      <c r="K19" s="72" t="n"/>
      <c r="M19" s="72" t="n"/>
    </row>
    <row r="20">
      <c r="A20" s="33" t="inlineStr">
        <is>
          <t>Shyam Tran.</t>
        </is>
      </c>
      <c r="B20" s="34" t="inlineStr">
        <is>
          <t>diesal</t>
        </is>
      </c>
      <c r="C20" s="29">
        <f>+E20/D20</f>
        <v/>
      </c>
      <c r="D20" s="79">
        <f>+VLOOKUP(B20,A$4:C$6,3,0)</f>
        <v/>
      </c>
      <c r="E20" s="82" t="n">
        <v>1904.39</v>
      </c>
      <c r="F20" s="79" t="n">
        <v>21466</v>
      </c>
      <c r="K20" s="72" t="n"/>
    </row>
    <row r="21">
      <c r="A21" s="33" t="n"/>
      <c r="B21" s="34" t="inlineStr">
        <is>
          <t>diesal</t>
        </is>
      </c>
      <c r="C21" s="29">
        <f>+E21/D21</f>
        <v/>
      </c>
      <c r="D21" s="79">
        <f>+VLOOKUP(B21,A$4:C$6,3,0)</f>
        <v/>
      </c>
      <c r="E21" s="82" t="n"/>
      <c r="F21" s="35" t="n"/>
      <c r="H21" s="71" t="n"/>
      <c r="K21" s="72" t="n"/>
      <c r="M21" s="72" t="n"/>
    </row>
    <row r="22">
      <c r="A22" s="33" t="n"/>
      <c r="B22" s="34" t="inlineStr">
        <is>
          <t>diesal</t>
        </is>
      </c>
      <c r="C22" s="29">
        <f>+E22/D22</f>
        <v/>
      </c>
      <c r="D22" s="79">
        <f>+VLOOKUP(B22,A$4:C$6,3,0)</f>
        <v/>
      </c>
      <c r="E22" s="82" t="n"/>
      <c r="F22" s="79" t="n"/>
    </row>
    <row r="23">
      <c r="A23" s="34" t="n"/>
      <c r="B23" s="34" t="inlineStr">
        <is>
          <t>diesal</t>
        </is>
      </c>
      <c r="C23" s="29">
        <f>+E23/D23</f>
        <v/>
      </c>
      <c r="D23" s="79">
        <f>+VLOOKUP(B23,A$4:C$6,3,0)</f>
        <v/>
      </c>
      <c r="E23" s="82" t="n"/>
      <c r="F23" s="79" t="n"/>
    </row>
    <row r="24">
      <c r="A24" s="34" t="n"/>
      <c r="B24" s="34" t="inlineStr">
        <is>
          <t>diesal</t>
        </is>
      </c>
      <c r="C24" s="29">
        <f>+E24/D24</f>
        <v/>
      </c>
      <c r="D24" s="79">
        <f>+VLOOKUP(B24,A$4:C$6,3,0)</f>
        <v/>
      </c>
      <c r="E24" s="29" t="n"/>
      <c r="F24" s="79" t="n"/>
      <c r="H24" s="72" t="n"/>
      <c r="I24" s="72" t="n"/>
      <c r="J24" s="72" t="n"/>
    </row>
    <row r="25">
      <c r="A25" s="34" t="n"/>
      <c r="B25" s="34" t="inlineStr">
        <is>
          <t>diesal</t>
        </is>
      </c>
      <c r="C25" s="29">
        <f>+E25/D25</f>
        <v/>
      </c>
      <c r="D25" s="79">
        <f>+VLOOKUP(B25,A$4:C$6,3,0)</f>
        <v/>
      </c>
      <c r="E25" s="29" t="n"/>
      <c r="F25" s="79" t="n"/>
      <c r="H25" s="72" t="n"/>
    </row>
    <row r="26">
      <c r="A26" s="79" t="n"/>
      <c r="B26" s="79" t="n"/>
      <c r="C26" s="29">
        <f>SUM(C15:C25)</f>
        <v/>
      </c>
      <c r="D26" s="29" t="n"/>
      <c r="E26" s="29">
        <f>SUM(E15:E25)</f>
        <v/>
      </c>
      <c r="F26" s="79" t="n"/>
    </row>
    <row r="50">
      <c r="E50" t="n">
        <v>9</v>
      </c>
    </row>
  </sheetData>
  <mergeCells count="16">
    <mergeCell ref="O2:P2"/>
    <mergeCell ref="M2:N2"/>
    <mergeCell ref="S2:T2"/>
    <mergeCell ref="Q2:R2"/>
    <mergeCell ref="A13:F13"/>
    <mergeCell ref="G2:H2"/>
    <mergeCell ref="E2:F2"/>
    <mergeCell ref="K2:L2"/>
    <mergeCell ref="I2:J2"/>
    <mergeCell ref="U2:U3"/>
    <mergeCell ref="C2:C3"/>
    <mergeCell ref="A9:C9"/>
    <mergeCell ref="B2:B3"/>
    <mergeCell ref="A2:A3"/>
    <mergeCell ref="D2:D3"/>
    <mergeCell ref="A8:B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KP</dc:creator>
  <dcterms:created xsi:type="dcterms:W3CDTF">2015-06-05T18:17:20Z</dcterms:created>
  <dcterms:modified xsi:type="dcterms:W3CDTF">2026-09-27T04:19:51Z</dcterms:modified>
  <cp:lastModifiedBy>Asus</cp:lastModifiedBy>
</cp:coreProperties>
</file>
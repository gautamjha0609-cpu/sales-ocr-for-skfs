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19" activeTab="0" autoFilterDateGrouping="1"/>
  </bookViews>
  <sheets>
    <sheet name="1-10-2025" sheetId="1" state="visible" r:id="rId1"/>
    <sheet name="2-10-2025" sheetId="2" state="visible" r:id="rId2"/>
    <sheet name="3-10-2025" sheetId="3" state="visible" r:id="rId3"/>
    <sheet name="4-10-2025" sheetId="4" state="visible" r:id="rId4"/>
    <sheet name="5-10-2025" sheetId="5" state="visible" r:id="rId5"/>
    <sheet name="6-10-2025" sheetId="6" state="visible" r:id="rId6"/>
    <sheet name="7-10-2025" sheetId="7" state="visible" r:id="rId7"/>
    <sheet name="8-10-2025" sheetId="8" state="visible" r:id="rId8"/>
    <sheet name="9-10-2025" sheetId="9" state="visible" r:id="rId9"/>
    <sheet name="10-10-2025" sheetId="10" state="visible" r:id="rId10"/>
    <sheet name="11-10-2025" sheetId="11" state="visible" r:id="rId11"/>
    <sheet name="12-10-2025" sheetId="12" state="visible" r:id="rId12"/>
    <sheet name="13-10-2025" sheetId="13" state="visible" r:id="rId13"/>
    <sheet name="14-10-2025" sheetId="14" state="visible" r:id="rId14"/>
    <sheet name="15-10-2025" sheetId="15" state="visible" r:id="rId15"/>
    <sheet name="16-10-2025" sheetId="16" state="visible" r:id="rId16"/>
    <sheet name="17-10-2025" sheetId="17" state="visible" r:id="rId17"/>
    <sheet name="18-10-2025" sheetId="18" state="visible" r:id="rId18"/>
    <sheet name="19-10-2025" sheetId="19" state="visible" r:id="rId19"/>
    <sheet name="20-10-2025" sheetId="20" state="visible" r:id="rId20"/>
    <sheet name="21-10-2025" sheetId="21" state="visible" r:id="rId21"/>
    <sheet name="22-10-2025" sheetId="22" state="visible" r:id="rId22"/>
    <sheet name="23-10-2025" sheetId="23" state="visible" r:id="rId23"/>
    <sheet name="24-10-2025" sheetId="24" state="visible" r:id="rId24"/>
    <sheet name="25-10-2025" sheetId="25" state="visible" r:id="rId25"/>
    <sheet name="26-10-2025" sheetId="26" state="visible" r:id="rId26"/>
    <sheet name="27-10-2025" sheetId="27" state="visible" r:id="rId27"/>
    <sheet name="28-10-2025" sheetId="28" state="visible" r:id="rId28"/>
    <sheet name="29-10-2025" sheetId="29" state="visible" r:id="rId29"/>
    <sheet name="30-10-2025" sheetId="30" state="visible" r:id="rId30"/>
    <sheet name="31-10-2025" sheetId="31" state="visible" r:id="rId31"/>
    <sheet name="Sheet1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0"/>
    <numFmt numFmtId="166" formatCode="yyyy-mm-dd h:mm:ss"/>
    <numFmt numFmtId="167" formatCode="dd-mm-yyyy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5"/>
    </font>
    <font>
      <name val="Arial"/>
      <charset val="134"/>
      <sz val="11"/>
    </font>
    <font>
      <name val="Arial"/>
      <charset val="134"/>
      <b val="1"/>
      <sz val="11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color rgb="FFFF0000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853511154515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1" fillId="0" borderId="0"/>
    <xf numFmtId="43" fontId="1" fillId="0" borderId="0"/>
  </cellStyleXfs>
  <cellXfs count="79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2" fontId="3" fillId="0" borderId="3" applyAlignment="1" pivotButton="0" quotePrefix="0" xfId="0">
      <alignment vertical="center"/>
    </xf>
    <xf numFmtId="2" fontId="3" fillId="0" borderId="4" applyAlignment="1" pivotButton="0" quotePrefix="0" xfId="0">
      <alignment vertical="center"/>
    </xf>
    <xf numFmtId="2" fontId="3" fillId="0" borderId="5" applyAlignment="1" pivotButton="0" quotePrefix="0" xfId="0">
      <alignment vertical="center"/>
    </xf>
    <xf numFmtId="2" fontId="3" fillId="2" borderId="4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0" fillId="0" borderId="10" pivotButton="0" quotePrefix="0" xfId="0"/>
    <xf numFmtId="2" fontId="3" fillId="0" borderId="2" applyAlignment="1" pivotButton="0" quotePrefix="0" xfId="0">
      <alignment vertical="center"/>
    </xf>
    <xf numFmtId="2" fontId="3" fillId="0" borderId="2" applyAlignment="1" pivotButton="0" quotePrefix="0" xfId="0">
      <alignment horizontal="center" vertical="center"/>
    </xf>
    <xf numFmtId="2" fontId="4" fillId="0" borderId="3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13" applyAlignment="1" pivotButton="0" quotePrefix="0" xfId="0">
      <alignment vertical="center"/>
    </xf>
    <xf numFmtId="2" fontId="5" fillId="2" borderId="14" applyAlignment="1" pivotButton="0" quotePrefix="0" xfId="0">
      <alignment vertical="center"/>
    </xf>
    <xf numFmtId="2" fontId="5" fillId="0" borderId="15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2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6" fillId="0" borderId="0" pivotButton="0" quotePrefix="0" xfId="0"/>
    <xf numFmtId="2" fontId="7" fillId="0" borderId="0" pivotButton="0" quotePrefix="0" xfId="0"/>
    <xf numFmtId="2" fontId="0" fillId="0" borderId="0" pivotButton="0" quotePrefix="0" xfId="0"/>
    <xf numFmtId="0" fontId="8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2" fontId="8" fillId="0" borderId="2" pivotButton="0" quotePrefix="0" xfId="0"/>
    <xf numFmtId="0" fontId="6" fillId="0" borderId="19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1" fillId="0" borderId="2" pivotButton="0" quotePrefix="0" xfId="0"/>
    <xf numFmtId="0" fontId="6" fillId="0" borderId="2" pivotButton="0" quotePrefix="0" xfId="0"/>
    <xf numFmtId="43" fontId="8" fillId="0" borderId="2" pivotButton="0" quotePrefix="0" xfId="1"/>
    <xf numFmtId="3" fontId="0" fillId="0" borderId="2" pivotButton="0" quotePrefix="0" xfId="0"/>
    <xf numFmtId="2" fontId="0" fillId="0" borderId="2" pivotButton="0" quotePrefix="0" xfId="0"/>
    <xf numFmtId="2" fontId="0" fillId="0" borderId="19" pivotButton="0" quotePrefix="0" xfId="0"/>
    <xf numFmtId="164" fontId="8" fillId="0" borderId="2" pivotButton="0" quotePrefix="0" xfId="0"/>
    <xf numFmtId="0" fontId="0" fillId="2" borderId="2" pivotButton="0" quotePrefix="0" xfId="0"/>
    <xf numFmtId="0" fontId="8" fillId="0" borderId="0" pivotButton="0" quotePrefix="0" xfId="0"/>
    <xf numFmtId="2" fontId="3" fillId="0" borderId="4" applyAlignment="1" pivotButton="0" quotePrefix="0" xfId="0">
      <alignment horizontal="center" vertical="center"/>
    </xf>
    <xf numFmtId="2" fontId="0" fillId="2" borderId="2" pivotButton="0" quotePrefix="0" xfId="0"/>
    <xf numFmtId="165" fontId="0" fillId="0" borderId="2" pivotButton="0" quotePrefix="0" xfId="0"/>
    <xf numFmtId="3" fontId="0" fillId="0" borderId="2" applyAlignment="1" pivotButton="0" quotePrefix="1" xfId="0">
      <alignment horizontal="right"/>
    </xf>
    <xf numFmtId="14" fontId="0" fillId="0" borderId="2" pivotButton="0" quotePrefix="0" xfId="0"/>
    <xf numFmtId="14" fontId="0" fillId="0" borderId="0" pivotButton="0" quotePrefix="0" xfId="0"/>
    <xf numFmtId="0" fontId="8" fillId="0" borderId="20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19" pivotButton="0" quotePrefix="0" xfId="0"/>
    <xf numFmtId="0" fontId="2" fillId="0" borderId="24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6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" pivotButton="0" quotePrefix="0" xfId="0"/>
    <xf numFmtId="43" fontId="8" fillId="0" borderId="2" pivotButton="0" quotePrefix="0" xfId="1"/>
    <xf numFmtId="165" fontId="0" fillId="0" borderId="2" pivotButton="0" quotePrefix="0" xfId="0"/>
    <xf numFmtId="164" fontId="8" fillId="0" borderId="2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54093.63</v>
      </c>
      <c r="I8" s="20" t="n"/>
      <c r="J8" s="21" t="n">
        <v>700</v>
      </c>
      <c r="K8" s="20" t="n"/>
      <c r="L8" s="21" t="n">
        <v>8462.059999999999</v>
      </c>
      <c r="M8" s="22" t="n"/>
      <c r="N8" s="21" t="n">
        <v>86444.64999999999</v>
      </c>
      <c r="O8" s="22" t="inlineStr">
        <is>
          <t> </t>
        </is>
      </c>
      <c r="P8" s="21" t="n">
        <v>0</v>
      </c>
      <c r="Q8" s="20" t="n">
        <v>0</v>
      </c>
      <c r="R8" s="21" t="n">
        <v>123566</v>
      </c>
      <c r="S8" s="20" t="n"/>
      <c r="T8" s="21" t="n">
        <v>21758.21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68575</v>
      </c>
      <c r="I13" s="41" t="n">
        <v>65773</v>
      </c>
      <c r="J13" s="32" t="n">
        <v>5788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100618</v>
      </c>
      <c r="I14" s="41" t="n">
        <v>4335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12054.63</v>
      </c>
      <c r="F15" s="38" t="n">
        <v>22335</v>
      </c>
      <c r="H15" s="41" t="n"/>
      <c r="I15" s="41" t="n">
        <v>49936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mool Chand yadav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523.55</v>
      </c>
      <c r="F16" s="38" t="n">
        <v>22336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Moolchand Mali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3180.04</v>
      </c>
      <c r="F17" s="38" t="n">
        <v>22337</v>
      </c>
      <c r="H17" s="30" t="n"/>
      <c r="K17" s="41" t="n">
        <v>8462.059999999999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93100.86</v>
      </c>
      <c r="I8" s="20" t="n"/>
      <c r="J8" s="21" t="n">
        <v>1600</v>
      </c>
      <c r="K8" s="20" t="n"/>
      <c r="L8" s="21" t="n">
        <v>25485.85</v>
      </c>
      <c r="M8" s="22" t="n"/>
      <c r="N8" s="21" t="n">
        <v>72791.75999999999</v>
      </c>
      <c r="O8" s="22" t="inlineStr">
        <is>
          <t> </t>
        </is>
      </c>
      <c r="P8" s="21" t="n">
        <v>0</v>
      </c>
      <c r="Q8" s="20" t="n">
        <v>0</v>
      </c>
      <c r="R8" s="21" t="n">
        <v>119210</v>
      </c>
      <c r="S8" s="20" t="n"/>
      <c r="T8" s="21" t="n">
        <v>54783.07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69737</v>
      </c>
      <c r="I13" s="41" t="n">
        <v>40021</v>
      </c>
      <c r="J13" s="32" t="n">
        <v>38744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68894</v>
      </c>
      <c r="I14" s="41" t="n">
        <v>98392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Piploda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22070.77</v>
      </c>
      <c r="F15" s="38" t="n">
        <v>22339</v>
      </c>
      <c r="H15" s="41" t="n"/>
      <c r="I15" s="41" t="n">
        <v>51184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arjun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21851.56</v>
      </c>
      <c r="F16" s="38" t="n">
        <v>22340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Shyam Tran.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3540.74</v>
      </c>
      <c r="F17" s="38" t="n">
        <v>22342</v>
      </c>
      <c r="H17" s="30" t="n"/>
      <c r="K17" s="41" t="n">
        <v>25485.85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76478.82000000001</v>
      </c>
      <c r="I8" s="20" t="n"/>
      <c r="J8" s="21" t="n">
        <v>0</v>
      </c>
      <c r="K8" s="20" t="n"/>
      <c r="L8" s="21" t="n">
        <v>3673.71</v>
      </c>
      <c r="M8" s="22" t="n"/>
      <c r="N8" s="21" t="n">
        <v>111497.25</v>
      </c>
      <c r="O8" s="22" t="inlineStr">
        <is>
          <t> </t>
        </is>
      </c>
      <c r="P8" s="21" t="n">
        <v>0</v>
      </c>
      <c r="Q8" s="20" t="n">
        <v>0</v>
      </c>
      <c r="R8" s="21" t="n">
        <v>75717</v>
      </c>
      <c r="S8" s="20" t="n"/>
      <c r="T8" s="21" t="n">
        <v>90869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75024</v>
      </c>
      <c r="I13" s="41" t="n">
        <v>42280</v>
      </c>
      <c r="J13" s="32" t="n">
        <v>15833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86356</v>
      </c>
      <c r="I14" s="41" t="n">
        <v>50835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20454.21</v>
      </c>
      <c r="F15" s="38" t="n">
        <v>22343</v>
      </c>
      <c r="H15" s="41" t="n"/>
      <c r="I15" s="41" t="n">
        <v>87908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mool Chand yadav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750</v>
      </c>
      <c r="F16" s="38" t="n">
        <v>22344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Piploda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20000</v>
      </c>
      <c r="F17" s="38" t="n">
        <v>22345</v>
      </c>
      <c r="H17" s="30" t="n"/>
      <c r="K17" s="41" t="n">
        <v>3673.71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arjun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34000.14</v>
      </c>
      <c r="F18" s="38" t="n">
        <v>22346</v>
      </c>
      <c r="P18" t="n">
        <v>199</v>
      </c>
    </row>
    <row r="19">
      <c r="A19" s="37" t="inlineStr">
        <is>
          <t>Shyam Tran.</t>
        </is>
      </c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>
        <v>4275.05</v>
      </c>
      <c r="F19" s="49" t="n">
        <v>22348</v>
      </c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inlineStr">
        <is>
          <t>Shyam Tran.</t>
        </is>
      </c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>
        <v>3000.38</v>
      </c>
      <c r="F20" s="32" t="n">
        <v>22351</v>
      </c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inlineStr">
        <is>
          <t>Shyam Tran.</t>
        </is>
      </c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>
        <v>4788.34</v>
      </c>
      <c r="F21" s="40" t="n">
        <v>22352</v>
      </c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inlineStr">
        <is>
          <t>dinesh</t>
        </is>
      </c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>
        <v>3600.28</v>
      </c>
      <c r="F22" s="32" t="n">
        <v>22353</v>
      </c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63262.14</v>
      </c>
      <c r="I8" s="20" t="n"/>
      <c r="J8" s="21" t="n">
        <v>4500</v>
      </c>
      <c r="K8" s="20" t="n"/>
      <c r="L8" s="21" t="n">
        <v>2592.71</v>
      </c>
      <c r="M8" s="22" t="n"/>
      <c r="N8" s="21" t="n">
        <v>119702.47</v>
      </c>
      <c r="O8" s="22" t="inlineStr">
        <is>
          <t> </t>
        </is>
      </c>
      <c r="P8" s="21" t="n">
        <v>0</v>
      </c>
      <c r="Q8" s="20" t="n">
        <v>0</v>
      </c>
      <c r="R8" s="21" t="n">
        <v>109081</v>
      </c>
      <c r="S8" s="20" t="n"/>
      <c r="T8" s="21" t="n">
        <v>72050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84284.22</v>
      </c>
      <c r="I13" s="41" t="n">
        <v>39492.13</v>
      </c>
      <c r="J13" s="32" t="n">
        <v>895.63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106653</v>
      </c>
      <c r="I14" s="41" t="n">
        <v>70859.05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Piploda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22419.89</v>
      </c>
      <c r="F15" s="38" t="n">
        <v>22354</v>
      </c>
      <c r="H15" s="41" t="n"/>
      <c r="I15" s="41" t="n">
        <v>68986.28999999999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arjun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44128.92</v>
      </c>
      <c r="F16" s="38" t="n">
        <v>22356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mk Soler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3500.45</v>
      </c>
      <c r="F17" s="38" t="n">
        <v>22360</v>
      </c>
      <c r="H17" s="30" t="n"/>
      <c r="K17" s="41" t="n">
        <v>2592.71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78985.17999999999</v>
      </c>
      <c r="I8" s="20" t="n"/>
      <c r="J8" s="21" t="n">
        <v>4700</v>
      </c>
      <c r="K8" s="20" t="n"/>
      <c r="L8" s="21" t="n">
        <v>4951</v>
      </c>
      <c r="M8" s="22" t="n"/>
      <c r="N8" s="21" t="n">
        <v>74505.78999999999</v>
      </c>
      <c r="O8" s="22" t="inlineStr">
        <is>
          <t> </t>
        </is>
      </c>
      <c r="P8" s="21" t="n">
        <v>0</v>
      </c>
      <c r="Q8" s="20" t="n">
        <v>0</v>
      </c>
      <c r="R8" s="21" t="n">
        <v>102184</v>
      </c>
      <c r="S8" s="20" t="n"/>
      <c r="T8" s="21" t="n">
        <v>99260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78047</v>
      </c>
      <c r="I13" s="41" t="n">
        <v>78705</v>
      </c>
      <c r="J13" s="32" t="n">
        <v>8789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83266</v>
      </c>
      <c r="I14" s="41" t="n">
        <v>33323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21212.89</v>
      </c>
      <c r="F15" s="38" t="n">
        <v>22363</v>
      </c>
      <c r="H15" s="41" t="n"/>
      <c r="I15" s="41" t="n">
        <v>82462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Piploda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29065.66</v>
      </c>
      <c r="F16" s="38" t="n">
        <v>22364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arjun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22429.81</v>
      </c>
      <c r="F17" s="38" t="n">
        <v>22365</v>
      </c>
      <c r="H17" s="30" t="n"/>
      <c r="K17" s="41" t="n">
        <v>4951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dinesh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3502.85</v>
      </c>
      <c r="F18" s="38" t="n">
        <v>22366</v>
      </c>
      <c r="P18" t="n">
        <v>199</v>
      </c>
    </row>
    <row r="19">
      <c r="A19" s="37" t="inlineStr">
        <is>
          <t>monu</t>
        </is>
      </c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>
        <v>9199.66</v>
      </c>
      <c r="F19" s="49" t="n">
        <v>22367</v>
      </c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inlineStr">
        <is>
          <t>arjun</t>
        </is>
      </c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>
        <v>3349.49</v>
      </c>
      <c r="F20" s="32" t="n">
        <v>22368</v>
      </c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45707.33</v>
      </c>
      <c r="I8" s="20" t="n"/>
      <c r="J8" s="21" t="n">
        <v>0</v>
      </c>
      <c r="K8" s="20" t="n"/>
      <c r="L8" s="21" t="n">
        <v>5812.35</v>
      </c>
      <c r="M8" s="22" t="n"/>
      <c r="N8" s="21" t="n">
        <v>94667.42</v>
      </c>
      <c r="O8" s="22" t="inlineStr">
        <is>
          <t> </t>
        </is>
      </c>
      <c r="P8" s="21" t="n">
        <v>0</v>
      </c>
      <c r="Q8" s="20" t="n">
        <v>0</v>
      </c>
      <c r="R8" s="21" t="n">
        <v>75174</v>
      </c>
      <c r="S8" s="20" t="n"/>
      <c r="T8" s="21" t="n">
        <v>77561.50999999999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59593</v>
      </c>
      <c r="I13" s="41" t="n">
        <v>48118</v>
      </c>
      <c r="J13" s="32" t="n">
        <v>1918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89000</v>
      </c>
      <c r="I14" s="41" t="n">
        <v>47430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Piploda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8799.98</v>
      </c>
      <c r="F15" s="38" t="n">
        <v>22369</v>
      </c>
      <c r="H15" s="41" t="n"/>
      <c r="I15" s="41" t="n">
        <v>52864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arjun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43099.63</v>
      </c>
      <c r="F16" s="38" t="n">
        <v>22370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sayar School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3957</v>
      </c>
      <c r="F17" s="38" t="n">
        <v>22371</v>
      </c>
      <c r="H17" s="30" t="n"/>
      <c r="K17" s="41" t="n">
        <v>5812.35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vandana School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12458.9</v>
      </c>
      <c r="F18" s="38" t="n">
        <v>22372</v>
      </c>
      <c r="P18" t="n">
        <v>199</v>
      </c>
    </row>
    <row r="19">
      <c r="A19" s="37" t="inlineStr">
        <is>
          <t>Shyam Tran.</t>
        </is>
      </c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>
        <v>2000</v>
      </c>
      <c r="F19" s="49" t="n">
        <v>22375</v>
      </c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inlineStr">
        <is>
          <t>Shyam Tran.</t>
        </is>
      </c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>
        <v>1746</v>
      </c>
      <c r="F20" s="32" t="n">
        <v>22377</v>
      </c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70327.63</v>
      </c>
      <c r="I8" s="20" t="n"/>
      <c r="J8" s="21" t="n">
        <v>250</v>
      </c>
      <c r="K8" s="20" t="n"/>
      <c r="L8" s="21" t="n">
        <v>12219.46</v>
      </c>
      <c r="M8" s="22" t="n"/>
      <c r="N8" s="21" t="n">
        <v>76724.41</v>
      </c>
      <c r="O8" s="22" t="inlineStr">
        <is>
          <t> </t>
        </is>
      </c>
      <c r="P8" s="21" t="n">
        <v>0</v>
      </c>
      <c r="Q8" s="20" t="n">
        <v>0</v>
      </c>
      <c r="R8" s="21" t="n">
        <v>99505</v>
      </c>
      <c r="S8" s="20" t="n"/>
      <c r="T8" s="21" t="n">
        <v>39958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79484</v>
      </c>
      <c r="I13" s="41" t="n">
        <v>41303</v>
      </c>
      <c r="J13" s="32" t="n">
        <v>19321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71962</v>
      </c>
      <c r="I14" s="41" t="n">
        <v>15498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Piploda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9000</v>
      </c>
      <c r="F15" s="38" t="n">
        <v>22378</v>
      </c>
      <c r="H15" s="41" t="n"/>
      <c r="I15" s="41" t="n">
        <v>71417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mool Chand yadav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20025.71</v>
      </c>
      <c r="F16" s="38" t="n">
        <v>22379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Shyam Tran.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3190</v>
      </c>
      <c r="F17" s="38" t="n">
        <v>22381</v>
      </c>
      <c r="H17" s="30" t="n"/>
      <c r="K17" s="41" t="n">
        <v>12219.46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Shyam Tran.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3611.19</v>
      </c>
      <c r="F18" s="38" t="n">
        <v>22384</v>
      </c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70008.78999999999</v>
      </c>
      <c r="I8" s="20" t="n"/>
      <c r="J8" s="21" t="n">
        <v>820</v>
      </c>
      <c r="K8" s="20" t="n"/>
      <c r="L8" s="21" t="n">
        <v>11648.55</v>
      </c>
      <c r="M8" s="22" t="n"/>
      <c r="N8" s="21" t="n">
        <v>72505.89</v>
      </c>
      <c r="O8" s="22" t="inlineStr">
        <is>
          <t> </t>
        </is>
      </c>
      <c r="P8" s="21" t="n">
        <v>0</v>
      </c>
      <c r="Q8" s="20" t="n">
        <v>0</v>
      </c>
      <c r="R8" s="21" t="n">
        <v>98199</v>
      </c>
      <c r="S8" s="20" t="n"/>
      <c r="T8" s="21" t="n">
        <v>44197.77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76777</v>
      </c>
      <c r="I13" s="41" t="n">
        <v>48366</v>
      </c>
      <c r="J13" s="32" t="n">
        <v>9560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80121</v>
      </c>
      <c r="I14" s="41" t="n">
        <v>47530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arjun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34499.31</v>
      </c>
      <c r="F15" s="38" t="n">
        <v>22385</v>
      </c>
      <c r="H15" s="41" t="n"/>
      <c r="I15" s="41" t="n">
        <v>35026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Shyam Tran.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4697.23</v>
      </c>
      <c r="F16" s="38" t="n">
        <v>22386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11648.55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85292.16</v>
      </c>
      <c r="I8" s="20" t="n"/>
      <c r="J8" s="21" t="n">
        <v>0</v>
      </c>
      <c r="K8" s="20" t="n"/>
      <c r="L8" s="21" t="n">
        <v>5887.71</v>
      </c>
      <c r="M8" s="22" t="n"/>
      <c r="N8" s="21" t="n">
        <v>77824.64999999999</v>
      </c>
      <c r="O8" s="22" t="inlineStr">
        <is>
          <t> </t>
        </is>
      </c>
      <c r="P8" s="21" t="n">
        <v>0</v>
      </c>
      <c r="Q8" s="20" t="n">
        <v>0</v>
      </c>
      <c r="R8" s="21" t="n">
        <v>91742</v>
      </c>
      <c r="S8" s="20" t="n"/>
      <c r="T8" s="21" t="n">
        <v>63214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85934</v>
      </c>
      <c r="I13" s="41" t="n">
        <v>26789</v>
      </c>
      <c r="J13" s="32" t="n">
        <v>1088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76972</v>
      </c>
      <c r="I14" s="41" t="n">
        <v>51963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20445.19</v>
      </c>
      <c r="F15" s="38" t="n">
        <v>22387</v>
      </c>
      <c r="H15" s="41" t="n"/>
      <c r="I15" s="41" t="n">
        <v>81215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arjun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31715.12</v>
      </c>
      <c r="F16" s="38" t="n">
        <v>22388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Shyam Tran.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3563.29</v>
      </c>
      <c r="F17" s="38" t="n">
        <v>22389</v>
      </c>
      <c r="H17" s="30" t="n"/>
      <c r="K17" s="41" t="n">
        <v>5887.71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arjun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1899.68</v>
      </c>
      <c r="F18" s="38" t="n">
        <v>22391</v>
      </c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82836.09</v>
      </c>
      <c r="I8" s="20" t="n"/>
      <c r="J8" s="21" t="n">
        <v>2780</v>
      </c>
      <c r="K8" s="20" t="n"/>
      <c r="L8" s="21" t="n">
        <v>12413</v>
      </c>
      <c r="M8" s="22" t="n"/>
      <c r="N8" s="21" t="n">
        <v>97752.06</v>
      </c>
      <c r="O8" s="22" t="inlineStr">
        <is>
          <t> </t>
        </is>
      </c>
      <c r="P8" s="21" t="n">
        <v>0</v>
      </c>
      <c r="Q8" s="20" t="n">
        <v>0</v>
      </c>
      <c r="R8" s="21" t="n">
        <v>114525</v>
      </c>
      <c r="S8" s="20" t="n"/>
      <c r="T8" s="21" t="n">
        <v>27946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86061</v>
      </c>
      <c r="I13" s="41" t="n">
        <v>35818</v>
      </c>
      <c r="J13" s="32" t="n">
        <v>2805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82232</v>
      </c>
      <c r="I14" s="41" t="n">
        <v>32733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vandana School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11933.88</v>
      </c>
      <c r="F15" s="38" t="n">
        <v>22393</v>
      </c>
      <c r="H15" s="41" t="n"/>
      <c r="I15" s="41" t="n">
        <v>98604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Piploda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8412.08</v>
      </c>
      <c r="F16" s="38" t="n">
        <v>22397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dinesh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3899.77</v>
      </c>
      <c r="F17" s="38" t="n">
        <v>22398</v>
      </c>
      <c r="H17" s="30" t="n"/>
      <c r="K17" s="41" t="n">
        <v>12413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mool Chand yadav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399.99</v>
      </c>
      <c r="F18" s="38" t="n">
        <v>22399</v>
      </c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75770.33</v>
      </c>
      <c r="I8" s="20" t="n"/>
      <c r="J8" s="21" t="n">
        <v>2870</v>
      </c>
      <c r="K8" s="20" t="n"/>
      <c r="L8" s="21" t="n">
        <v>1170</v>
      </c>
      <c r="M8" s="22" t="n"/>
      <c r="N8" s="21" t="n">
        <v>98523.62</v>
      </c>
      <c r="O8" s="22" t="inlineStr">
        <is>
          <t> </t>
        </is>
      </c>
      <c r="P8" s="21" t="n">
        <v>0</v>
      </c>
      <c r="Q8" s="20" t="n">
        <v>0</v>
      </c>
      <c r="R8" s="21" t="n">
        <v>110051</v>
      </c>
      <c r="S8" s="20" t="n"/>
      <c r="T8" s="21" t="n">
        <v>51838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76882</v>
      </c>
      <c r="I13" s="41" t="n">
        <v>66243</v>
      </c>
      <c r="J13" s="32" t="n">
        <v>5828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77867</v>
      </c>
      <c r="I14" s="41" t="n">
        <v>47298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19726.22</v>
      </c>
      <c r="F15" s="38" t="n">
        <v>22401</v>
      </c>
      <c r="H15" s="41" t="n"/>
      <c r="I15" s="41" t="n">
        <v>66105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arjun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4984.1</v>
      </c>
      <c r="F16" s="38" t="n">
        <v>22402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arjun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24226.79</v>
      </c>
      <c r="F17" s="38" t="n">
        <v>22405</v>
      </c>
      <c r="H17" s="30" t="n"/>
      <c r="K17" s="41" t="n">
        <v>1170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dinesh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2400.48</v>
      </c>
      <c r="F18" s="38" t="n">
        <v>22407</v>
      </c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64073.12</v>
      </c>
      <c r="I8" s="20" t="n"/>
      <c r="J8" s="21" t="n">
        <v>3026</v>
      </c>
      <c r="K8" s="20" t="n"/>
      <c r="L8" s="21" t="n">
        <v>14500</v>
      </c>
      <c r="M8" s="22" t="n"/>
      <c r="N8" s="21" t="n">
        <v>81988.72</v>
      </c>
      <c r="O8" s="22" t="inlineStr">
        <is>
          <t> </t>
        </is>
      </c>
      <c r="P8" s="21" t="n">
        <v>0</v>
      </c>
      <c r="Q8" s="20" t="n">
        <v>0</v>
      </c>
      <c r="R8" s="21" t="n">
        <v>122397</v>
      </c>
      <c r="S8" s="20" t="n"/>
      <c r="T8" s="21" t="n">
        <v>32500.47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76719</v>
      </c>
      <c r="I13" s="41" t="n">
        <v>53042</v>
      </c>
      <c r="J13" s="32" t="n">
        <v>1641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92582</v>
      </c>
      <c r="I14" s="41" t="n">
        <v>66131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arjun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29500.47</v>
      </c>
      <c r="F15" s="38" t="n">
        <v>22408</v>
      </c>
      <c r="H15" s="41" t="n"/>
      <c r="I15" s="41" t="n">
        <v>28370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n"/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/>
      <c r="F16" s="38" t="n"/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14500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58938.13</v>
      </c>
      <c r="I8" s="20" t="n"/>
      <c r="J8" s="21" t="n">
        <v>0</v>
      </c>
      <c r="K8" s="20" t="n"/>
      <c r="L8" s="21" t="n">
        <v>11158.5</v>
      </c>
      <c r="M8" s="22" t="n"/>
      <c r="N8" s="21" t="n">
        <v>72496.14</v>
      </c>
      <c r="O8" s="22" t="inlineStr">
        <is>
          <t> </t>
        </is>
      </c>
      <c r="P8" s="21" t="n">
        <v>0</v>
      </c>
      <c r="Q8" s="20" t="n">
        <v>0</v>
      </c>
      <c r="R8" s="21" t="n">
        <v>123786</v>
      </c>
      <c r="S8" s="20" t="n"/>
      <c r="T8" s="21" t="n">
        <v>81465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77855</v>
      </c>
      <c r="I13" s="41" t="n">
        <v>60365</v>
      </c>
      <c r="J13" s="32" t="n">
        <v>1139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92047</v>
      </c>
      <c r="I14" s="41" t="n">
        <v>33715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20549.83</v>
      </c>
      <c r="F15" s="38" t="n">
        <v>22409</v>
      </c>
      <c r="H15" s="41" t="n"/>
      <c r="I15" s="41" t="n">
        <v>82723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mool Chand yadav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523.55</v>
      </c>
      <c r="F16" s="38" t="n">
        <v>22410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sayar School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14013.22</v>
      </c>
      <c r="F17" s="38" t="n">
        <v>22411</v>
      </c>
      <c r="H17" s="30" t="n"/>
      <c r="K17" s="41" t="n">
        <v>11158.5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Piploda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21644.98</v>
      </c>
      <c r="F18" s="38" t="n">
        <v>22412</v>
      </c>
      <c r="P18" t="n">
        <v>199</v>
      </c>
    </row>
    <row r="19">
      <c r="A19" s="37" t="inlineStr">
        <is>
          <t>monu</t>
        </is>
      </c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>
        <v>8011.53</v>
      </c>
      <c r="F19" s="49" t="n">
        <v>22414</v>
      </c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inlineStr">
        <is>
          <t>Shyam Tran.</t>
        </is>
      </c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>
        <v>4601.61</v>
      </c>
      <c r="F20" s="32" t="n">
        <v>22416</v>
      </c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49695.77</v>
      </c>
      <c r="I8" s="20" t="n"/>
      <c r="J8" s="21" t="n">
        <v>0</v>
      </c>
      <c r="K8" s="20" t="n"/>
      <c r="L8" s="21" t="n">
        <v>36046.09</v>
      </c>
      <c r="M8" s="22" t="n"/>
      <c r="N8" s="21" t="n">
        <v>71820.74000000001</v>
      </c>
      <c r="O8" s="22" t="inlineStr">
        <is>
          <t> </t>
        </is>
      </c>
      <c r="P8" s="21" t="n">
        <v>0</v>
      </c>
      <c r="Q8" s="20" t="n">
        <v>0</v>
      </c>
      <c r="R8" s="21" t="n">
        <v>101658</v>
      </c>
      <c r="S8" s="20" t="n"/>
      <c r="T8" s="21" t="n">
        <v>64524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56449</v>
      </c>
      <c r="I13" s="41" t="n">
        <v>55579</v>
      </c>
      <c r="J13" s="32" t="n">
        <v>788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90966</v>
      </c>
      <c r="I14" s="41" t="n">
        <v>61433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Piploda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20000</v>
      </c>
      <c r="F15" s="38" t="n">
        <v>22417</v>
      </c>
      <c r="H15" s="41" t="n"/>
      <c r="I15" s="41" t="n">
        <v>58530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indra devi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43999.92</v>
      </c>
      <c r="F16" s="38" t="n">
        <v>22419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36046.09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73410.38</v>
      </c>
      <c r="I8" s="20" t="n"/>
      <c r="J8" s="21" t="n">
        <v>3650</v>
      </c>
      <c r="K8" s="20" t="n"/>
      <c r="L8" s="21" t="n">
        <v>451</v>
      </c>
      <c r="M8" s="22" t="n"/>
      <c r="N8" s="21" t="n">
        <v>78138.19</v>
      </c>
      <c r="O8" s="22" t="inlineStr">
        <is>
          <t> </t>
        </is>
      </c>
      <c r="P8" s="21" t="n">
        <v>0</v>
      </c>
      <c r="Q8" s="20" t="n">
        <v>0</v>
      </c>
      <c r="R8" s="21" t="n">
        <v>90030</v>
      </c>
      <c r="S8" s="20" t="n"/>
      <c r="T8" s="21" t="n">
        <v>82306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73957</v>
      </c>
      <c r="I13" s="41" t="n">
        <v>42485</v>
      </c>
      <c r="J13" s="32" t="n">
        <v>759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84848</v>
      </c>
      <c r="I14" s="41" t="n">
        <v>58843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20815.95</v>
      </c>
      <c r="F15" s="38" t="n">
        <v>22423</v>
      </c>
      <c r="H15" s="41" t="n"/>
      <c r="I15" s="41" t="n">
        <v>67095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Piploda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20000</v>
      </c>
      <c r="F16" s="38" t="n">
        <v>22424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Piploda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8189.21</v>
      </c>
      <c r="F17" s="38" t="n">
        <v>22425</v>
      </c>
      <c r="H17" s="30" t="n"/>
      <c r="K17" s="41" t="n">
        <v>451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indra devi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21618.93</v>
      </c>
      <c r="F18" s="38" t="n">
        <v>22426</v>
      </c>
      <c r="P18" t="n">
        <v>199</v>
      </c>
    </row>
    <row r="19">
      <c r="A19" s="37" t="inlineStr">
        <is>
          <t>dinesh</t>
        </is>
      </c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>
        <v>3084.27</v>
      </c>
      <c r="F19" s="49" t="n">
        <v>22427</v>
      </c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inlineStr">
        <is>
          <t>Shyam Tran.</t>
        </is>
      </c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>
        <v>2675.62</v>
      </c>
      <c r="F20" s="32" t="n">
        <v>22428</v>
      </c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inlineStr">
        <is>
          <t>Shyam Tran.</t>
        </is>
      </c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>
        <v>3321.42</v>
      </c>
      <c r="F21" s="40" t="n">
        <v>22429</v>
      </c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inlineStr">
        <is>
          <t>monu</t>
        </is>
      </c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>
        <v>2599.85</v>
      </c>
      <c r="F22" s="32" t="n">
        <v>22430</v>
      </c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90246.06</v>
      </c>
      <c r="I8" s="20" t="n"/>
      <c r="J8" s="21" t="n">
        <v>300</v>
      </c>
      <c r="K8" s="20" t="n"/>
      <c r="L8" s="21" t="n">
        <v>7510</v>
      </c>
      <c r="M8" s="22" t="n"/>
      <c r="N8" s="21" t="n">
        <v>72983.03</v>
      </c>
      <c r="O8" s="22" t="inlineStr">
        <is>
          <t> </t>
        </is>
      </c>
      <c r="P8" s="21" t="n">
        <v>0</v>
      </c>
      <c r="Q8" s="20" t="n">
        <v>0</v>
      </c>
      <c r="R8" s="21" t="n">
        <v>134377</v>
      </c>
      <c r="S8" s="20" t="n"/>
      <c r="T8" s="21" t="n">
        <v>54120.91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91851</v>
      </c>
      <c r="I13" s="41" t="n">
        <v>55774</v>
      </c>
      <c r="J13" s="32" t="n">
        <v>8713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89152</v>
      </c>
      <c r="I14" s="41" t="n">
        <v>52251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indra devi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32711.95</v>
      </c>
      <c r="F15" s="38" t="n">
        <v>22431</v>
      </c>
      <c r="H15" s="41" t="n"/>
      <c r="I15" s="41" t="n">
        <v>61796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dinesh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3308.96</v>
      </c>
      <c r="F16" s="38" t="n">
        <v>22433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7510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58516.94</v>
      </c>
      <c r="I8" s="20" t="n"/>
      <c r="J8" s="21" t="n">
        <v>0</v>
      </c>
      <c r="K8" s="20" t="n"/>
      <c r="L8" s="21" t="n">
        <v>1534</v>
      </c>
      <c r="M8" s="22" t="n"/>
      <c r="N8" s="21" t="n">
        <v>70525.89999999999</v>
      </c>
      <c r="O8" s="22" t="inlineStr">
        <is>
          <t> </t>
        </is>
      </c>
      <c r="P8" s="21" t="n">
        <v>0</v>
      </c>
      <c r="Q8" s="20" t="n">
        <v>0</v>
      </c>
      <c r="R8" s="21" t="n">
        <v>96271</v>
      </c>
      <c r="S8" s="20" t="n"/>
      <c r="T8" s="21" t="n">
        <v>58323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59685</v>
      </c>
      <c r="I13" s="41" t="n">
        <v>39554</v>
      </c>
      <c r="J13" s="32" t="n">
        <v>3682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87896</v>
      </c>
      <c r="I14" s="41" t="n">
        <v>36538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mk Soler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3440.69</v>
      </c>
      <c r="F15" s="38" t="n">
        <v>22434</v>
      </c>
      <c r="H15" s="41" t="n"/>
      <c r="I15" s="41" t="n">
        <v>57816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mool Chand yadav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18905.39</v>
      </c>
      <c r="F16" s="38" t="n">
        <v>22435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Piploda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23683.73</v>
      </c>
      <c r="F17" s="38" t="n">
        <v>22436</v>
      </c>
      <c r="H17" s="30" t="n"/>
      <c r="K17" s="41" t="n">
        <v>1534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dinesh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3804.15</v>
      </c>
      <c r="F18" s="38" t="n">
        <v>22437</v>
      </c>
      <c r="P18" t="n">
        <v>199</v>
      </c>
    </row>
    <row r="19">
      <c r="A19" s="37" t="inlineStr">
        <is>
          <t>Shyam Tran.</t>
        </is>
      </c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>
        <v>4699.03</v>
      </c>
      <c r="F19" s="49" t="n">
        <v>22438</v>
      </c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70109.41</v>
      </c>
      <c r="I8" s="20" t="n"/>
      <c r="J8" s="21" t="n">
        <v>0</v>
      </c>
      <c r="K8" s="20" t="n"/>
      <c r="L8" s="21" t="n">
        <v>16250.59</v>
      </c>
      <c r="M8" s="22" t="n"/>
      <c r="N8" s="21" t="n">
        <v>116068.53</v>
      </c>
      <c r="O8" s="22" t="inlineStr">
        <is>
          <t> </t>
        </is>
      </c>
      <c r="P8" s="21" t="n">
        <v>0</v>
      </c>
      <c r="Q8" s="20" t="n">
        <v>0</v>
      </c>
      <c r="R8" s="21" t="n">
        <v>114225</v>
      </c>
      <c r="S8" s="20" t="n"/>
      <c r="T8" s="21" t="n">
        <v>43220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90393</v>
      </c>
      <c r="I13" s="41" t="n">
        <v>87814</v>
      </c>
      <c r="J13" s="32" t="n">
        <v>2509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107743</v>
      </c>
      <c r="I14" s="41" t="n">
        <v>41934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2651.23</v>
      </c>
      <c r="F15" s="38" t="n">
        <v>22439</v>
      </c>
      <c r="H15" s="41" t="n"/>
      <c r="I15" s="41" t="n">
        <v>29490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indra devi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22000.41</v>
      </c>
      <c r="F16" s="38" t="n">
        <v>22440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indra devi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3157.35</v>
      </c>
      <c r="F17" s="38" t="n">
        <v>22441</v>
      </c>
      <c r="H17" s="30" t="n"/>
      <c r="K17" s="41" t="n">
        <v>16250.59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Shyam Tran.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2463.63</v>
      </c>
      <c r="F18" s="38" t="n">
        <v>22442</v>
      </c>
      <c r="P18" t="n">
        <v>199</v>
      </c>
    </row>
    <row r="19">
      <c r="A19" s="37" t="inlineStr">
        <is>
          <t>Piploda</t>
        </is>
      </c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>
        <v>8143.25</v>
      </c>
      <c r="F19" s="49" t="n">
        <v>22443</v>
      </c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72740.17999999999</v>
      </c>
      <c r="I8" s="20" t="n"/>
      <c r="J8" s="21" t="n">
        <v>4500</v>
      </c>
      <c r="K8" s="20" t="n"/>
      <c r="L8" s="21" t="n">
        <v>2679</v>
      </c>
      <c r="M8" s="22" t="n"/>
      <c r="N8" s="21" t="n">
        <v>120464.07</v>
      </c>
      <c r="O8" s="22" t="inlineStr">
        <is>
          <t> </t>
        </is>
      </c>
      <c r="P8" s="21" t="n">
        <v>0</v>
      </c>
      <c r="Q8" s="20" t="n">
        <v>0</v>
      </c>
      <c r="R8" s="21" t="n">
        <v>117746</v>
      </c>
      <c r="S8" s="20" t="n"/>
      <c r="T8" s="21" t="n">
        <v>50839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89818</v>
      </c>
      <c r="I13" s="41" t="n">
        <v>63870</v>
      </c>
      <c r="J13" s="32" t="n">
        <v>11953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112698</v>
      </c>
      <c r="I14" s="41" t="n">
        <v>33437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20814.15</v>
      </c>
      <c r="F15" s="38" t="n">
        <v>22444</v>
      </c>
      <c r="H15" s="41" t="n"/>
      <c r="I15" s="41" t="n">
        <v>61193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mool Chand yadav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1050</v>
      </c>
      <c r="F16" s="38" t="n">
        <v>22445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indra devi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26725.15</v>
      </c>
      <c r="F17" s="38" t="n">
        <v>22446</v>
      </c>
      <c r="H17" s="30" t="n"/>
      <c r="K17" s="41" t="n">
        <v>2679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39128.79</v>
      </c>
      <c r="I8" s="20" t="n"/>
      <c r="J8" s="21" t="n">
        <v>0</v>
      </c>
      <c r="K8" s="20" t="n"/>
      <c r="L8" s="21" t="n">
        <v>7657.67</v>
      </c>
      <c r="M8" s="22" t="n"/>
      <c r="N8" s="21" t="n">
        <v>51796.07</v>
      </c>
      <c r="O8" s="22" t="inlineStr">
        <is>
          <t> </t>
        </is>
      </c>
      <c r="P8" s="21" t="n">
        <v>0</v>
      </c>
      <c r="Q8" s="20" t="n">
        <v>0</v>
      </c>
      <c r="R8" s="21" t="n">
        <v>108294</v>
      </c>
      <c r="S8" s="20" t="n"/>
      <c r="T8" s="21" t="n">
        <v>7129.27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70978</v>
      </c>
      <c r="I13" s="41" t="n">
        <v>25514</v>
      </c>
      <c r="J13" s="32" t="n">
        <v>997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76876</v>
      </c>
      <c r="I14" s="41" t="n">
        <v>19647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dinesh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3300.78</v>
      </c>
      <c r="F15" s="38" t="n">
        <v>22449</v>
      </c>
      <c r="H15" s="41" t="n"/>
      <c r="I15" s="41" t="n">
        <v>19992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mk Soler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2999.54</v>
      </c>
      <c r="F16" s="38" t="n">
        <v>22450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mool Chand yadav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523.55</v>
      </c>
      <c r="F17" s="38" t="n">
        <v>22451</v>
      </c>
      <c r="H17" s="30" t="n"/>
      <c r="K17" s="41" t="n">
        <v>7657.67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40710.35</v>
      </c>
      <c r="I8" s="20" t="n"/>
      <c r="J8" s="21" t="n">
        <v>2860</v>
      </c>
      <c r="K8" s="20" t="n"/>
      <c r="L8" s="21" t="n">
        <v>6377.52</v>
      </c>
      <c r="M8" s="22" t="n"/>
      <c r="N8" s="21" t="n">
        <v>55561.17</v>
      </c>
      <c r="O8" s="22" t="inlineStr">
        <is>
          <t> </t>
        </is>
      </c>
      <c r="P8" s="21" t="n">
        <v>0</v>
      </c>
      <c r="Q8" s="20" t="n">
        <v>0</v>
      </c>
      <c r="R8" s="21" t="n">
        <v>112205</v>
      </c>
      <c r="S8" s="20" t="n"/>
      <c r="T8" s="21" t="n">
        <v>14216.62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53710</v>
      </c>
      <c r="I13" s="41" t="n">
        <v>52909</v>
      </c>
      <c r="J13" s="32" t="n">
        <v>3760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89415</v>
      </c>
      <c r="I14" s="41" t="n">
        <v>3732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10148.62</v>
      </c>
      <c r="F15" s="38" t="n">
        <v>22452</v>
      </c>
      <c r="H15" s="41" t="n"/>
      <c r="I15" s="41" t="n">
        <v>28405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n"/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/>
      <c r="F16" s="38" t="n"/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6377.52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55625.83</v>
      </c>
      <c r="I8" s="20" t="n"/>
      <c r="J8" s="21" t="n">
        <v>0</v>
      </c>
      <c r="K8" s="20" t="n"/>
      <c r="L8" s="21" t="n">
        <v>5360.42</v>
      </c>
      <c r="M8" s="22" t="n"/>
      <c r="N8" s="21" t="n">
        <v>66418.60000000001</v>
      </c>
      <c r="O8" s="22" t="inlineStr">
        <is>
          <t> </t>
        </is>
      </c>
      <c r="P8" s="21" t="n">
        <v>0</v>
      </c>
      <c r="Q8" s="20" t="n">
        <v>0</v>
      </c>
      <c r="R8" s="21" t="n">
        <v>106978</v>
      </c>
      <c r="S8" s="20" t="n"/>
      <c r="T8" s="21" t="n">
        <v>5000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71917</v>
      </c>
      <c r="I13" s="41" t="n">
        <v>49407</v>
      </c>
      <c r="J13" s="32" t="n">
        <v>654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88311</v>
      </c>
      <c r="I14" s="41" t="n">
        <v>6821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n"/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/>
      <c r="F15" s="38" t="n"/>
      <c r="H15" s="41" t="n"/>
      <c r="I15" s="41" t="n">
        <v>26323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n"/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/>
      <c r="F16" s="38" t="n"/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5360.42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55711.5</v>
      </c>
      <c r="I8" s="20" t="n"/>
      <c r="J8" s="21" t="n">
        <v>7770</v>
      </c>
      <c r="K8" s="20" t="n"/>
      <c r="L8" s="21" t="n">
        <v>17319.37</v>
      </c>
      <c r="M8" s="22" t="n"/>
      <c r="N8" s="21" t="n">
        <v>95945.13</v>
      </c>
      <c r="O8" s="22" t="inlineStr">
        <is>
          <t> </t>
        </is>
      </c>
      <c r="P8" s="21" t="n">
        <v>0</v>
      </c>
      <c r="Q8" s="20" t="n">
        <v>0</v>
      </c>
      <c r="R8" s="21" t="n">
        <v>144008</v>
      </c>
      <c r="S8" s="20" t="n"/>
      <c r="T8" s="21" t="n">
        <v>5872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84250</v>
      </c>
      <c r="I13" s="41" t="n">
        <v>45702</v>
      </c>
      <c r="J13" s="32" t="n">
        <v>5787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128884</v>
      </c>
      <c r="I14" s="41" t="n">
        <v>21887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5871.76</v>
      </c>
      <c r="F15" s="38" t="n">
        <v>22453</v>
      </c>
      <c r="H15" s="41" t="n"/>
      <c r="I15" s="41" t="n">
        <v>40117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n"/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/>
      <c r="F16" s="38" t="n"/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17319.37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52503.52</v>
      </c>
      <c r="I8" s="20" t="n"/>
      <c r="J8" s="21" t="n">
        <v>0</v>
      </c>
      <c r="K8" s="20" t="n"/>
      <c r="L8" s="21" t="n">
        <v>3214</v>
      </c>
      <c r="M8" s="22" t="n"/>
      <c r="N8" s="21" t="n">
        <v>122710.6</v>
      </c>
      <c r="O8" s="22" t="inlineStr">
        <is>
          <t> </t>
        </is>
      </c>
      <c r="P8" s="21" t="n">
        <v>0</v>
      </c>
      <c r="Q8" s="20" t="n">
        <v>0</v>
      </c>
      <c r="R8" s="21" t="n">
        <v>75457</v>
      </c>
      <c r="S8" s="20" t="n"/>
      <c r="T8" s="21" t="n">
        <v>34964.39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70652</v>
      </c>
      <c r="I13" s="41" t="n">
        <v>76363</v>
      </c>
      <c r="J13" s="32" t="n">
        <v>3705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75953</v>
      </c>
      <c r="I14" s="41" t="n">
        <v>23212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indra devi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17463.75</v>
      </c>
      <c r="F15" s="38" t="n">
        <v>22456</v>
      </c>
      <c r="H15" s="41" t="n"/>
      <c r="I15" s="41" t="n">
        <v>39346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indra devi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2300.35</v>
      </c>
      <c r="F16" s="38" t="n">
        <v>22459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monu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7000.29</v>
      </c>
      <c r="F17" s="38" t="n">
        <v>22460</v>
      </c>
      <c r="H17" s="30" t="n"/>
      <c r="K17" s="41" t="n">
        <v>3214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37766.58</v>
      </c>
      <c r="I8" s="20" t="n"/>
      <c r="J8" s="21" t="n">
        <v>0</v>
      </c>
      <c r="K8" s="20" t="n"/>
      <c r="L8" s="21" t="n">
        <v>5312.27</v>
      </c>
      <c r="M8" s="22" t="n"/>
      <c r="N8" s="21" t="n">
        <v>72727.44</v>
      </c>
      <c r="O8" s="22" t="inlineStr">
        <is>
          <t> </t>
        </is>
      </c>
      <c r="P8" s="21" t="n">
        <v>0</v>
      </c>
      <c r="Q8" s="20" t="n">
        <v>0</v>
      </c>
      <c r="R8" s="21" t="n">
        <v>107958</v>
      </c>
      <c r="S8" s="20" t="n"/>
      <c r="T8" s="21" t="n">
        <v>73572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56015</v>
      </c>
      <c r="I13" s="41" t="n">
        <v>35729</v>
      </c>
      <c r="J13" s="32" t="n">
        <v>21209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73006</v>
      </c>
      <c r="I14" s="41" t="n">
        <v>68649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indra devi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21999.85</v>
      </c>
      <c r="F15" s="38" t="n">
        <v>22462</v>
      </c>
      <c r="H15" s="41" t="n"/>
      <c r="I15" s="41" t="n">
        <v>42729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mool Chand yadav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17474.87</v>
      </c>
      <c r="F16" s="38" t="n">
        <v>22463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Piploda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18412.37</v>
      </c>
      <c r="F17" s="38" t="n">
        <v>22464</v>
      </c>
      <c r="H17" s="30" t="n"/>
      <c r="K17" s="41" t="n">
        <v>5312.27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Shyam Tran.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3389.85</v>
      </c>
      <c r="F18" s="38" t="n">
        <v>22465</v>
      </c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58425.3</v>
      </c>
      <c r="I8" s="20" t="n"/>
      <c r="J8" s="21" t="n">
        <v>990</v>
      </c>
      <c r="K8" s="20" t="n"/>
      <c r="L8" s="21" t="n">
        <v>22394.31</v>
      </c>
      <c r="M8" s="22" t="n"/>
      <c r="N8" s="21" t="n">
        <v>85642.03</v>
      </c>
      <c r="O8" s="22" t="inlineStr">
        <is>
          <t> </t>
        </is>
      </c>
      <c r="P8" s="21" t="n">
        <v>0</v>
      </c>
      <c r="Q8" s="20" t="n">
        <v>0</v>
      </c>
      <c r="R8" s="21" t="n">
        <v>112924</v>
      </c>
      <c r="S8" s="20" t="n"/>
      <c r="T8" s="21" t="n">
        <v>65265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77026</v>
      </c>
      <c r="I13" s="41" t="n">
        <v>47124</v>
      </c>
      <c r="J13" s="32" t="n">
        <v>1349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113518</v>
      </c>
      <c r="I14" s="41" t="n">
        <v>31485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Piploda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41174.55</v>
      </c>
      <c r="F15" s="38" t="n">
        <v>22467</v>
      </c>
      <c r="H15" s="41" t="n"/>
      <c r="I15" s="41" t="n">
        <v>75139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Shyam Tran.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2490</v>
      </c>
      <c r="F16" s="38" t="n">
        <v>22468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22394.31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43104.09</v>
      </c>
      <c r="I8" s="20" t="n"/>
      <c r="J8" s="21" t="n">
        <v>610</v>
      </c>
      <c r="K8" s="20" t="n"/>
      <c r="L8" s="21" t="n">
        <v>260</v>
      </c>
      <c r="M8" s="22" t="n"/>
      <c r="N8" s="21" t="n">
        <v>61358.6</v>
      </c>
      <c r="O8" s="22" t="inlineStr">
        <is>
          <t> </t>
        </is>
      </c>
      <c r="P8" s="21" t="n">
        <v>0</v>
      </c>
      <c r="Q8" s="20" t="n">
        <v>0</v>
      </c>
      <c r="R8" s="21" t="n">
        <v>106374</v>
      </c>
      <c r="S8" s="20" t="n"/>
      <c r="T8" s="21" t="n">
        <v>28377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56636</v>
      </c>
      <c r="I13" s="41" t="n">
        <v>43567</v>
      </c>
      <c r="J13" s="32" t="n">
        <v>14730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67899</v>
      </c>
      <c r="I14" s="41" t="n">
        <v>11440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mool Chand yadav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19817.39</v>
      </c>
      <c r="F15" s="38" t="n">
        <v>22469</v>
      </c>
      <c r="H15" s="41" t="n"/>
      <c r="I15" s="41" t="n">
        <v>45812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n"/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/>
      <c r="F16" s="38" t="n"/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260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70331.89999999999</v>
      </c>
      <c r="I8" s="20" t="n"/>
      <c r="J8" s="21" t="n">
        <v>120</v>
      </c>
      <c r="K8" s="20" t="n"/>
      <c r="L8" s="21" t="n">
        <v>12990.37</v>
      </c>
      <c r="M8" s="22" t="n"/>
      <c r="N8" s="21" t="n">
        <v>94172.03</v>
      </c>
      <c r="O8" s="22" t="inlineStr">
        <is>
          <t> </t>
        </is>
      </c>
      <c r="P8" s="21" t="n">
        <v>0</v>
      </c>
      <c r="Q8" s="20" t="n">
        <v>0</v>
      </c>
      <c r="R8" s="21" t="n">
        <v>94979</v>
      </c>
      <c r="S8" s="20" t="n"/>
      <c r="T8" s="21" t="n">
        <v>30136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76784</v>
      </c>
      <c r="I13" s="41" t="n">
        <v>36344</v>
      </c>
      <c r="J13" s="32" t="n">
        <v>5712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95578</v>
      </c>
      <c r="I14" s="41" t="n">
        <v>40673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indra devi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24000.37</v>
      </c>
      <c r="F15" s="38" t="n">
        <v>22472</v>
      </c>
      <c r="H15" s="41" t="n"/>
      <c r="I15" s="41" t="n">
        <v>47639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dinesh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3555.17</v>
      </c>
      <c r="F16" s="38" t="n">
        <v>22473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12990.37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43854.48</v>
      </c>
      <c r="I8" s="20" t="n"/>
      <c r="J8" s="21" t="n">
        <v>230</v>
      </c>
      <c r="K8" s="20" t="n"/>
      <c r="L8" s="21" t="n">
        <v>13713</v>
      </c>
      <c r="M8" s="22" t="n"/>
      <c r="N8" s="21" t="n">
        <v>66293.46000000001</v>
      </c>
      <c r="O8" s="22" t="inlineStr">
        <is>
          <t> </t>
        </is>
      </c>
      <c r="P8" s="21" t="n">
        <v>0</v>
      </c>
      <c r="Q8" s="20" t="n">
        <v>0</v>
      </c>
      <c r="R8" s="21" t="n">
        <v>116901</v>
      </c>
      <c r="S8" s="20" t="n"/>
      <c r="T8" s="21" t="n">
        <v>95650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51538</v>
      </c>
      <c r="I13" s="41" t="n">
        <v>109927</v>
      </c>
      <c r="J13" s="32" t="n">
        <v>12636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77502</v>
      </c>
      <c r="I14" s="41" t="n">
        <v>41556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Piploda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19792</v>
      </c>
      <c r="F15" s="38" t="n">
        <v>22475</v>
      </c>
      <c r="H15" s="41" t="n"/>
      <c r="I15" s="41" t="n">
        <v>43483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Piploda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20000</v>
      </c>
      <c r="F16" s="38" t="n">
        <v>22476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mool Chand yadav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21436.59</v>
      </c>
      <c r="F17" s="38" t="n">
        <v>22477</v>
      </c>
      <c r="H17" s="30" t="n"/>
      <c r="K17" s="41" t="n">
        <v>13713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vandana School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12841.39</v>
      </c>
      <c r="F18" s="38" t="n">
        <v>22478</v>
      </c>
      <c r="P18" t="n">
        <v>199</v>
      </c>
    </row>
    <row r="19">
      <c r="A19" s="37" t="inlineStr">
        <is>
          <t>indra devi</t>
        </is>
      </c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>
        <v>14000.59</v>
      </c>
      <c r="F19" s="49" t="n">
        <v>22479</v>
      </c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inlineStr">
        <is>
          <t>mool Chand yadav</t>
        </is>
      </c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>
        <v>4100.44</v>
      </c>
      <c r="F20" s="32" t="n">
        <v>22480</v>
      </c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45010.92</v>
      </c>
      <c r="I8" s="20" t="n"/>
      <c r="J8" s="21" t="n">
        <v>6000</v>
      </c>
      <c r="K8" s="20" t="n"/>
      <c r="L8" s="21" t="n">
        <v>7000</v>
      </c>
      <c r="M8" s="22" t="n"/>
      <c r="N8" s="21" t="n">
        <v>90925.78999999999</v>
      </c>
      <c r="O8" s="22" t="inlineStr">
        <is>
          <t> </t>
        </is>
      </c>
      <c r="P8" s="21" t="n">
        <v>0</v>
      </c>
      <c r="Q8" s="20" t="n">
        <v>0</v>
      </c>
      <c r="R8" s="21" t="n">
        <v>99608</v>
      </c>
      <c r="S8" s="20" t="n"/>
      <c r="T8" s="21" t="n">
        <v>120005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66778</v>
      </c>
      <c r="I13" s="41" t="n">
        <v>95653</v>
      </c>
      <c r="J13" s="32" t="n">
        <v>10124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70354</v>
      </c>
      <c r="I14" s="41" t="n">
        <v>69490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sayar School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5412.69</v>
      </c>
      <c r="F15" s="38" t="n">
        <v>22481</v>
      </c>
      <c r="H15" s="41" t="n"/>
      <c r="I15" s="41" t="n">
        <v>56152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Piploda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20500.29</v>
      </c>
      <c r="F16" s="38" t="n">
        <v>22482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inlineStr">
        <is>
          <t>dinesh</t>
        </is>
      </c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>
        <v>3550.69</v>
      </c>
      <c r="F17" s="38" t="n">
        <v>22483</v>
      </c>
      <c r="H17" s="30" t="n"/>
      <c r="K17" s="41" t="n">
        <v>7000</v>
      </c>
      <c r="L17" s="32">
        <f>+C4</f>
        <v/>
      </c>
      <c r="M17" s="32">
        <f>+K17/L17</f>
        <v/>
      </c>
      <c r="P17" t="n">
        <v>62847.72</v>
      </c>
    </row>
    <row r="18">
      <c r="A18" s="37" t="inlineStr">
        <is>
          <t>indra devi</t>
        </is>
      </c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>
        <v>3539.47</v>
      </c>
      <c r="F18" s="38" t="n">
        <v>22485</v>
      </c>
      <c r="P18" t="n">
        <v>199</v>
      </c>
    </row>
    <row r="19">
      <c r="A19" s="37" t="inlineStr">
        <is>
          <t>mk Soler</t>
        </is>
      </c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>
        <v>2500.47</v>
      </c>
      <c r="F19" s="49" t="n">
        <v>22489</v>
      </c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inlineStr">
        <is>
          <t>kedia</t>
        </is>
      </c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>
        <v>50000</v>
      </c>
      <c r="F20" s="32" t="n">
        <v>22488</v>
      </c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min="1" max="1"/>
    <col width="12" customWidth="1" min="2" max="2"/>
    <col width="12" customWidth="1" min="4" max="4"/>
    <col width="13.109375" customWidth="1" min="5" max="5"/>
    <col width="14" customWidth="1" min="6" max="6"/>
    <col width="10.109375" customWidth="1" min="7" max="7"/>
    <col width="10.6640625" customWidth="1" min="8" max="8"/>
    <col width="9.5546875" customWidth="1" min="9" max="9"/>
    <col width="10.6640625" customWidth="1" min="10" max="14"/>
    <col width="13.44140625" customWidth="1" min="15" max="15"/>
    <col width="11.88671875" customWidth="1" min="16" max="16"/>
    <col width="10.6640625" customWidth="1" min="18" max="18"/>
    <col width="9.5546875" customWidth="1" min="19" max="19"/>
    <col width="10.6640625" customWidth="1" min="20" max="20"/>
    <col width="9.6640625" customWidth="1" min="21" max="21"/>
    <col width="12.5546875" customWidth="1" min="23" max="23"/>
    <col width="12" customWidth="1" min="24" max="24"/>
  </cols>
  <sheetData>
    <row r="1" ht="18.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>
      <c r="A2" s="64" t="inlineStr">
        <is>
          <t>Particular</t>
        </is>
      </c>
      <c r="B2" s="64" t="inlineStr">
        <is>
          <t>Qty</t>
        </is>
      </c>
      <c r="C2" s="64" t="inlineStr">
        <is>
          <t>Rate</t>
        </is>
      </c>
      <c r="D2" s="65" t="inlineStr">
        <is>
          <t>Amount</t>
        </is>
      </c>
      <c r="E2" s="60" t="inlineStr">
        <is>
          <t>Pos SBI</t>
        </is>
      </c>
      <c r="F2" s="66" t="n"/>
      <c r="G2" s="60" t="inlineStr">
        <is>
          <t>Paytm</t>
        </is>
      </c>
      <c r="H2" s="66" t="n"/>
      <c r="I2" s="60" t="inlineStr">
        <is>
          <t>HP Card</t>
        </is>
      </c>
      <c r="J2" s="66" t="n"/>
      <c r="K2" s="60" t="inlineStr">
        <is>
          <t>ICICI</t>
        </is>
      </c>
      <c r="L2" s="66" t="n"/>
      <c r="M2" s="60" t="inlineStr">
        <is>
          <t>phone pe</t>
        </is>
      </c>
      <c r="N2" s="66" t="n"/>
      <c r="O2" s="67" t="inlineStr">
        <is>
          <t>mobiquick</t>
        </is>
      </c>
      <c r="P2" s="68" t="n"/>
      <c r="Q2" s="60" t="inlineStr">
        <is>
          <t xml:space="preserve">CASH </t>
        </is>
      </c>
      <c r="R2" s="66" t="n"/>
      <c r="S2" s="60" t="inlineStr">
        <is>
          <t>Credit</t>
        </is>
      </c>
      <c r="T2" s="66" t="n"/>
      <c r="U2" s="69" t="inlineStr">
        <is>
          <t>Qty Diffrence</t>
        </is>
      </c>
      <c r="W2" s="4" t="n"/>
      <c r="X2" s="4" t="n"/>
    </row>
    <row r="3" ht="18.6" customHeight="1">
      <c r="A3" s="70" t="n"/>
      <c r="B3" s="70" t="n"/>
      <c r="C3" s="70" t="n"/>
      <c r="D3" s="71" t="n"/>
      <c r="E3" s="60" t="inlineStr">
        <is>
          <t>Qty</t>
        </is>
      </c>
      <c r="F3" s="61" t="inlineStr">
        <is>
          <t>Amount</t>
        </is>
      </c>
      <c r="G3" s="60" t="inlineStr">
        <is>
          <t>Qty</t>
        </is>
      </c>
      <c r="H3" s="61" t="inlineStr">
        <is>
          <t>Amount</t>
        </is>
      </c>
      <c r="I3" s="60" t="inlineStr">
        <is>
          <t>Qty</t>
        </is>
      </c>
      <c r="J3" s="61" t="inlineStr">
        <is>
          <t>Amount</t>
        </is>
      </c>
      <c r="K3" s="60" t="inlineStr">
        <is>
          <t>Qty</t>
        </is>
      </c>
      <c r="L3" s="61" t="inlineStr">
        <is>
          <t>Amount</t>
        </is>
      </c>
      <c r="M3" s="60" t="inlineStr">
        <is>
          <t>Qty</t>
        </is>
      </c>
      <c r="N3" s="61" t="inlineStr">
        <is>
          <t>Amount</t>
        </is>
      </c>
      <c r="O3" s="60" t="inlineStr">
        <is>
          <t>Qty</t>
        </is>
      </c>
      <c r="P3" s="61" t="inlineStr">
        <is>
          <t>Amount</t>
        </is>
      </c>
      <c r="Q3" s="60" t="inlineStr">
        <is>
          <t>Qty</t>
        </is>
      </c>
      <c r="R3" s="61" t="inlineStr">
        <is>
          <t>Amount</t>
        </is>
      </c>
      <c r="S3" s="60" t="inlineStr">
        <is>
          <t>Qty</t>
        </is>
      </c>
      <c r="T3" s="61" t="inlineStr">
        <is>
          <t>Amount</t>
        </is>
      </c>
      <c r="U3" s="70" t="n"/>
      <c r="W3" s="4" t="inlineStr">
        <is>
          <t>diesal</t>
        </is>
      </c>
      <c r="X3" s="4">
        <f>+SUMIFS(C15:C25,B15:B25,W3)</f>
        <v/>
      </c>
    </row>
    <row r="4" customFormat="1" s="4">
      <c r="A4" s="5" t="inlineStr">
        <is>
          <t>Petrol</t>
        </is>
      </c>
      <c r="B4" s="14">
        <f>H16</f>
        <v/>
      </c>
      <c r="C4" s="6" t="n">
        <v>104.71</v>
      </c>
      <c r="D4" s="7">
        <f>B4*C4</f>
        <v/>
      </c>
      <c r="E4" s="8" t="n">
        <v>0</v>
      </c>
      <c r="F4" s="9">
        <f>+E4*C4</f>
        <v/>
      </c>
      <c r="G4" s="8">
        <f>+K20</f>
        <v/>
      </c>
      <c r="H4" s="9">
        <f>+G4*C4</f>
        <v/>
      </c>
      <c r="I4" s="8">
        <f>J4/C4</f>
        <v/>
      </c>
      <c r="J4" s="9" t="n">
        <v>0</v>
      </c>
      <c r="K4" s="10">
        <f>+M17</f>
        <v/>
      </c>
      <c r="L4" s="9">
        <f>+K4*C4</f>
        <v/>
      </c>
      <c r="M4" s="11">
        <f>+M15</f>
        <v/>
      </c>
      <c r="N4" s="9">
        <f>+M4*C4</f>
        <v/>
      </c>
      <c r="O4" s="11" t="n"/>
      <c r="P4" s="9">
        <f>+O4*C4</f>
        <v/>
      </c>
      <c r="Q4" s="8" t="n"/>
      <c r="R4" s="9">
        <f>+Q4*C4</f>
        <v/>
      </c>
      <c r="S4" s="12">
        <f>+X4</f>
        <v/>
      </c>
      <c r="T4" s="9">
        <f>+S4*C4</f>
        <v/>
      </c>
      <c r="U4" s="13">
        <f>+B4-E4-G4-Q4-S4-K4-I4-M4-O4</f>
        <v/>
      </c>
      <c r="W4" t="inlineStr">
        <is>
          <t>petrol</t>
        </is>
      </c>
      <c r="X4" s="4">
        <f>+SUMIFS(C15:C26,B15:B26,W4)</f>
        <v/>
      </c>
    </row>
    <row r="5" customFormat="1" s="4">
      <c r="A5" s="5" t="inlineStr">
        <is>
          <t>Diesal</t>
        </is>
      </c>
      <c r="B5" s="14">
        <f>I16</f>
        <v/>
      </c>
      <c r="C5" s="6" t="n">
        <v>90.20999999999999</v>
      </c>
      <c r="D5" s="7">
        <f>B5*C5</f>
        <v/>
      </c>
      <c r="E5" s="8" t="n">
        <v>0</v>
      </c>
      <c r="F5" s="9">
        <f>+E5*C5</f>
        <v/>
      </c>
      <c r="G5" s="8">
        <f>+M16</f>
        <v/>
      </c>
      <c r="H5" s="9">
        <f>+G5*C5</f>
        <v/>
      </c>
      <c r="I5" s="8">
        <f>+J8/C5</f>
        <v/>
      </c>
      <c r="J5" s="9">
        <f>+I5*C5</f>
        <v/>
      </c>
      <c r="K5" s="8" t="n">
        <v>0</v>
      </c>
      <c r="L5" s="9">
        <f>+K5*C5</f>
        <v/>
      </c>
      <c r="M5" s="11">
        <f>+M19</f>
        <v/>
      </c>
      <c r="N5" s="9">
        <f>+M5*C5</f>
        <v/>
      </c>
      <c r="O5" s="11">
        <f>+P8/C5</f>
        <v/>
      </c>
      <c r="P5" s="9">
        <f>+O5*C5</f>
        <v/>
      </c>
      <c r="Q5" s="8" t="n"/>
      <c r="R5" s="9">
        <f>+Q5*C5</f>
        <v/>
      </c>
      <c r="S5" s="12">
        <f>+X3</f>
        <v/>
      </c>
      <c r="T5" s="9">
        <f>+S5*C5</f>
        <v/>
      </c>
      <c r="U5" s="13">
        <f>+B5-E5-G5-Q5-S5-K5-I5-M5-O5</f>
        <v/>
      </c>
      <c r="W5" t="inlineStr">
        <is>
          <t>Petrol Power</t>
        </is>
      </c>
      <c r="X5" s="4">
        <f>+SUMIFS(C17:C27,B17:B27,W5)</f>
        <v/>
      </c>
    </row>
    <row r="6" customFormat="1" s="4">
      <c r="A6" s="5" t="inlineStr">
        <is>
          <t>Petrol Power</t>
        </is>
      </c>
      <c r="B6" s="14">
        <f>J16</f>
        <v/>
      </c>
      <c r="C6" s="6" t="n">
        <v>112.8</v>
      </c>
      <c r="D6" s="7">
        <f>B6*C6</f>
        <v/>
      </c>
      <c r="E6" s="8" t="n">
        <v>0</v>
      </c>
      <c r="F6" s="9">
        <f>+E6*C6</f>
        <v/>
      </c>
      <c r="G6" s="8" t="n"/>
      <c r="H6" s="9">
        <f>+G6*C6</f>
        <v/>
      </c>
      <c r="I6" s="8" t="n">
        <v>0</v>
      </c>
      <c r="J6" s="9">
        <f>+I6*C6</f>
        <v/>
      </c>
      <c r="K6" s="8" t="n">
        <v>0</v>
      </c>
      <c r="L6" s="9">
        <f>+K6*C6</f>
        <v/>
      </c>
      <c r="M6" s="11" t="n">
        <v>0</v>
      </c>
      <c r="N6" s="9">
        <f>+M6*C6</f>
        <v/>
      </c>
      <c r="O6" s="11" t="n"/>
      <c r="P6" s="9">
        <f>+O6*C6</f>
        <v/>
      </c>
      <c r="Q6" s="8" t="n"/>
      <c r="R6" s="9">
        <f>+Q6*C6</f>
        <v/>
      </c>
      <c r="S6" s="12">
        <f>+X5</f>
        <v/>
      </c>
      <c r="T6" s="9">
        <f>+S6*C6</f>
        <v/>
      </c>
      <c r="U6" s="13">
        <f>+B6-E6-G6-Q6-S6-K6-I6-M6-O6</f>
        <v/>
      </c>
    </row>
    <row r="7" customFormat="1" s="4">
      <c r="A7" s="5" t="n"/>
      <c r="B7" s="46">
        <f>SUM(B4:B6)</f>
        <v/>
      </c>
      <c r="C7" s="5" t="n"/>
      <c r="D7" s="15">
        <f>SUM(D4:D6)</f>
        <v/>
      </c>
      <c r="E7" s="16">
        <f>SUM(E4:E6)</f>
        <v/>
      </c>
      <c r="F7" s="17">
        <f>SUM(F4:F6)</f>
        <v/>
      </c>
      <c r="G7" s="16">
        <f>SUM(G4:G6)</f>
        <v/>
      </c>
      <c r="H7" s="17">
        <f>SUM(H4:H6)</f>
        <v/>
      </c>
      <c r="I7" s="16">
        <f>SUM(I4:I6)</f>
        <v/>
      </c>
      <c r="J7" s="17">
        <f>SUM(J4:J6)</f>
        <v/>
      </c>
      <c r="K7" s="16">
        <f>SUM(K4:K6)</f>
        <v/>
      </c>
      <c r="L7" s="17">
        <f>SUM(L4:L6)</f>
        <v/>
      </c>
      <c r="M7" s="16">
        <f>SUM(M4:M6)</f>
        <v/>
      </c>
      <c r="N7" s="17">
        <f>SUM(N4:N6)</f>
        <v/>
      </c>
      <c r="O7" s="16">
        <f>SUM(O4:O6)</f>
        <v/>
      </c>
      <c r="P7" s="17">
        <f>SUM(P4:P6)</f>
        <v/>
      </c>
      <c r="Q7" s="16">
        <f>SUM(Q4:Q6)</f>
        <v/>
      </c>
      <c r="R7" s="17">
        <f>SUM(R4:R6)</f>
        <v/>
      </c>
      <c r="S7" s="16">
        <f>SUM(S4:S6)</f>
        <v/>
      </c>
      <c r="T7" s="17">
        <f>SUM(T4:T6)</f>
        <v/>
      </c>
      <c r="U7" s="13">
        <f>+B7-E7-G7-Q7-S7-K7-I7-M7-O7</f>
        <v/>
      </c>
    </row>
    <row r="8" ht="15" customFormat="1" customHeight="1" s="4" thickBot="1">
      <c r="A8" s="55" t="inlineStr">
        <is>
          <t>Actual Amount</t>
        </is>
      </c>
      <c r="B8" s="72" t="n"/>
      <c r="C8" s="18" t="n"/>
      <c r="D8" s="19" t="n"/>
      <c r="E8" s="20" t="n"/>
      <c r="F8" s="21" t="n">
        <v>0</v>
      </c>
      <c r="G8" s="20" t="n"/>
      <c r="H8" s="21" t="n">
        <v>70090.50999999999</v>
      </c>
      <c r="I8" s="20" t="n"/>
      <c r="J8" s="21" t="n">
        <v>0</v>
      </c>
      <c r="K8" s="20" t="n"/>
      <c r="L8" s="21" t="n">
        <v>8026</v>
      </c>
      <c r="M8" s="22" t="n"/>
      <c r="N8" s="21" t="n">
        <v>87183.92</v>
      </c>
      <c r="O8" s="22" t="inlineStr">
        <is>
          <t> </t>
        </is>
      </c>
      <c r="P8" s="21" t="n">
        <v>0</v>
      </c>
      <c r="Q8" s="20" t="n">
        <v>0</v>
      </c>
      <c r="R8" s="21" t="n">
        <v>134707</v>
      </c>
      <c r="S8" s="20" t="n"/>
      <c r="T8" s="21" t="n">
        <v>42890</v>
      </c>
      <c r="U8" s="19" t="n"/>
    </row>
    <row r="9" ht="15.6" customHeight="1" thickBot="1" thickTop="1">
      <c r="A9" s="57" t="inlineStr">
        <is>
          <t>Diffrence should be zero</t>
        </is>
      </c>
      <c r="B9" s="73" t="n"/>
      <c r="C9" s="73" t="n"/>
      <c r="D9" s="23" t="n"/>
      <c r="E9" s="23" t="n"/>
      <c r="F9" s="24">
        <f>+F7-F8</f>
        <v/>
      </c>
      <c r="G9" s="23" t="n"/>
      <c r="H9" s="24">
        <f>+H7-H8</f>
        <v/>
      </c>
      <c r="I9" s="23" t="n"/>
      <c r="J9" s="24">
        <f>+J7-J8</f>
        <v/>
      </c>
      <c r="K9" s="23" t="n"/>
      <c r="L9" s="24">
        <f>+L7-L8</f>
        <v/>
      </c>
      <c r="M9" s="24" t="n"/>
      <c r="N9" s="24">
        <f>+N7-N8</f>
        <v/>
      </c>
      <c r="O9" s="24" t="n"/>
      <c r="P9" s="24">
        <f>+P7-P8</f>
        <v/>
      </c>
      <c r="Q9" s="23" t="n"/>
      <c r="R9" s="24">
        <f>+R7-R8</f>
        <v/>
      </c>
      <c r="S9" s="23" t="n"/>
      <c r="T9" s="24">
        <f>+T7-T8</f>
        <v/>
      </c>
      <c r="U9" s="25" t="n"/>
    </row>
    <row r="10" ht="15" customHeight="1" thickTop="1">
      <c r="A10" s="26" t="n"/>
      <c r="B10" s="26" t="n">
        <v>0</v>
      </c>
      <c r="C10" s="26" t="n"/>
      <c r="D10" s="4" t="n"/>
      <c r="E10" s="4" t="n"/>
      <c r="F10" s="27" t="n"/>
      <c r="G10" s="4" t="n"/>
      <c r="H10" s="27" t="n"/>
      <c r="I10" s="4" t="n"/>
      <c r="J10" s="27" t="n"/>
      <c r="K10" s="4" t="n"/>
      <c r="L10" s="8" t="n"/>
      <c r="M10" s="4" t="n"/>
      <c r="N10" s="27" t="n"/>
      <c r="O10" s="27" t="n"/>
      <c r="P10" s="27" t="n"/>
      <c r="Q10" s="27" t="n"/>
      <c r="R10" s="27" t="n"/>
      <c r="S10" s="4" t="n"/>
      <c r="T10" s="27" t="n"/>
      <c r="U10" s="4" t="n"/>
    </row>
    <row r="11">
      <c r="A11" s="28" t="inlineStr">
        <is>
          <t>sales value diff</t>
        </is>
      </c>
      <c r="D11" s="29">
        <f>+D7-F8-H8-L8-J8-R8-T8-N8-P8</f>
        <v/>
      </c>
      <c r="F11" s="30" t="n"/>
      <c r="M11" s="30" t="n"/>
    </row>
    <row r="12">
      <c r="F12" s="30" t="n"/>
      <c r="G12" s="30" t="n"/>
      <c r="H12" s="31" t="inlineStr">
        <is>
          <t>Petrol</t>
        </is>
      </c>
      <c r="I12" s="31" t="inlineStr">
        <is>
          <t>Diesal</t>
        </is>
      </c>
      <c r="J12" s="31" t="inlineStr">
        <is>
          <t>Power</t>
        </is>
      </c>
    </row>
    <row r="13">
      <c r="A13" s="59" t="inlineStr">
        <is>
          <t>CREDIT DETAIL</t>
        </is>
      </c>
      <c r="B13" s="74" t="n"/>
      <c r="C13" s="74" t="n"/>
      <c r="D13" s="74" t="n"/>
      <c r="E13" s="74" t="n"/>
      <c r="F13" s="66" t="n"/>
      <c r="H13" s="32" t="n">
        <v>74854</v>
      </c>
      <c r="I13" s="41" t="n">
        <v>54981</v>
      </c>
      <c r="J13" s="32" t="n">
        <v>4724</v>
      </c>
      <c r="P13" t="n">
        <v>31124</v>
      </c>
    </row>
    <row r="14">
      <c r="A14" s="31" t="inlineStr">
        <is>
          <t>particular</t>
        </is>
      </c>
      <c r="B14" s="31" t="inlineStr">
        <is>
          <t xml:space="preserve">Type </t>
        </is>
      </c>
      <c r="C14" s="33" t="inlineStr">
        <is>
          <t>QTY</t>
        </is>
      </c>
      <c r="D14" s="33" t="inlineStr">
        <is>
          <t>RATE</t>
        </is>
      </c>
      <c r="E14" s="33" t="inlineStr">
        <is>
          <t>AMOUNT</t>
        </is>
      </c>
      <c r="F14" s="34" t="inlineStr">
        <is>
          <t>inv no</t>
        </is>
      </c>
      <c r="H14" s="32" t="n">
        <v>112506</v>
      </c>
      <c r="I14" s="41" t="n">
        <v>29752</v>
      </c>
      <c r="J14" s="32" t="n"/>
      <c r="K14" s="35" t="inlineStr">
        <is>
          <t>Amount</t>
        </is>
      </c>
      <c r="L14" s="36" t="n"/>
      <c r="M14" s="36" t="inlineStr">
        <is>
          <t>Qty</t>
        </is>
      </c>
      <c r="P14" t="n">
        <v>16868.8</v>
      </c>
    </row>
    <row r="15">
      <c r="A15" s="37" t="inlineStr">
        <is>
          <t>Piploda</t>
        </is>
      </c>
      <c r="B15" s="38" t="inlineStr">
        <is>
          <t>diesal</t>
        </is>
      </c>
      <c r="C15" s="31">
        <f>+E15/D15</f>
        <v/>
      </c>
      <c r="D15" s="32">
        <f>+VLOOKUP(B15,A$4:C$6,3,0)</f>
        <v/>
      </c>
      <c r="E15" s="75" t="n">
        <v>20000</v>
      </c>
      <c r="F15" s="38" t="n">
        <v>22491</v>
      </c>
      <c r="H15" s="41" t="n"/>
      <c r="I15" s="41" t="n">
        <v>66081</v>
      </c>
      <c r="J15" s="41" t="n"/>
      <c r="K15" s="42" t="n"/>
      <c r="L15" s="32">
        <f>+C4</f>
        <v/>
      </c>
      <c r="M15" s="32">
        <f>+K15/L15</f>
        <v/>
      </c>
      <c r="P15" t="n">
        <v>38634.78</v>
      </c>
      <c r="V15">
        <f>2123+9236+3417.23+18069.1</f>
        <v/>
      </c>
    </row>
    <row r="16">
      <c r="A16" s="37" t="inlineStr">
        <is>
          <t>mool Chand yadav</t>
        </is>
      </c>
      <c r="B16" s="38" t="inlineStr">
        <is>
          <t>diesal</t>
        </is>
      </c>
      <c r="C16" s="31">
        <f>+E16/D16</f>
        <v/>
      </c>
      <c r="D16" s="32">
        <f>+VLOOKUP(B16,A$4:C$6,3,0)</f>
        <v/>
      </c>
      <c r="E16" s="75" t="n">
        <v>14689.79</v>
      </c>
      <c r="F16" s="38" t="n">
        <v>22492</v>
      </c>
      <c r="H16" s="32">
        <f>+H24/C4</f>
        <v/>
      </c>
      <c r="I16" s="76">
        <f>+I24/C5</f>
        <v/>
      </c>
      <c r="J16" s="76">
        <f>+J24/C6</f>
        <v/>
      </c>
      <c r="K16" s="42" t="n"/>
      <c r="L16" s="32">
        <f>+C5</f>
        <v/>
      </c>
      <c r="M16" s="41">
        <f>+K16/L16</f>
        <v/>
      </c>
      <c r="P16" t="n">
        <v>68665.22</v>
      </c>
    </row>
    <row r="17">
      <c r="A17" s="37" t="n"/>
      <c r="B17" s="38" t="inlineStr">
        <is>
          <t>diesal</t>
        </is>
      </c>
      <c r="C17" s="31">
        <f>+E17/D17</f>
        <v/>
      </c>
      <c r="D17" s="32">
        <f>+VLOOKUP(B17,A$4:C$6,3,0)</f>
        <v/>
      </c>
      <c r="E17" s="77" t="n"/>
      <c r="F17" s="38" t="n"/>
      <c r="H17" s="30" t="n"/>
      <c r="K17" s="41" t="n">
        <v>8026</v>
      </c>
      <c r="L17" s="32">
        <f>+C4</f>
        <v/>
      </c>
      <c r="M17" s="32">
        <f>+K17/L17</f>
        <v/>
      </c>
      <c r="P17" t="n">
        <v>62847.72</v>
      </c>
    </row>
    <row r="18">
      <c r="A18" s="37" t="n"/>
      <c r="B18" s="38" t="inlineStr">
        <is>
          <t>diesal</t>
        </is>
      </c>
      <c r="C18" s="31">
        <f>+E18/D18</f>
        <v/>
      </c>
      <c r="D18" s="32">
        <f>+VLOOKUP(B18,A$4:C$6,3,0)</f>
        <v/>
      </c>
      <c r="E18" s="77" t="n"/>
      <c r="F18" s="38" t="n"/>
      <c r="P18" t="n">
        <v>199</v>
      </c>
    </row>
    <row r="19">
      <c r="A19" s="37" t="n"/>
      <c r="B19" s="38" t="inlineStr">
        <is>
          <t>diesal</t>
        </is>
      </c>
      <c r="C19" s="31">
        <f>+E19/D19</f>
        <v/>
      </c>
      <c r="D19" s="32">
        <f>+VLOOKUP(B19,A$4:C$6,3,0)</f>
        <v/>
      </c>
      <c r="E19" s="77" t="n"/>
      <c r="F19" s="49" t="n"/>
      <c r="H19">
        <f>179130.55+24221.9</f>
        <v/>
      </c>
      <c r="K19" s="47" t="n"/>
      <c r="L19" s="32">
        <f>+L16</f>
        <v/>
      </c>
      <c r="M19" s="41">
        <f>+K19/L19</f>
        <v/>
      </c>
      <c r="P19" t="n">
        <v>163569</v>
      </c>
    </row>
    <row r="20">
      <c r="A20" s="37" t="n"/>
      <c r="B20" s="38" t="inlineStr">
        <is>
          <t>diesal</t>
        </is>
      </c>
      <c r="C20" s="31">
        <f>+E20/D20</f>
        <v/>
      </c>
      <c r="D20" s="32">
        <f>+VLOOKUP(B20,A$4:C$6,3,0)</f>
        <v/>
      </c>
      <c r="E20" s="77" t="n"/>
      <c r="F20" s="32" t="n"/>
      <c r="K20" s="41">
        <f>+M20/L20</f>
        <v/>
      </c>
      <c r="L20" s="32">
        <f>+C4</f>
        <v/>
      </c>
      <c r="M20" s="44" t="n"/>
      <c r="P20">
        <f>SUM(P13:P19)</f>
        <v/>
      </c>
    </row>
    <row r="21">
      <c r="A21" s="37" t="n"/>
      <c r="B21" s="38" t="inlineStr">
        <is>
          <t>diesal</t>
        </is>
      </c>
      <c r="C21" s="31">
        <f>+E21/D21</f>
        <v/>
      </c>
      <c r="D21" s="32">
        <f>+VLOOKUP(B21,A$4:C$6,3,0)</f>
        <v/>
      </c>
      <c r="E21" s="77" t="n"/>
      <c r="F21" s="40" t="n"/>
      <c r="H21" s="45" t="n"/>
      <c r="K21" s="30">
        <f>+N8-K15</f>
        <v/>
      </c>
      <c r="L21" s="32">
        <f>+L16</f>
        <v/>
      </c>
      <c r="M21" s="41">
        <f>+K21/L21</f>
        <v/>
      </c>
    </row>
    <row r="22">
      <c r="A22" s="37" t="n"/>
      <c r="B22" s="38" t="inlineStr">
        <is>
          <t>diesal</t>
        </is>
      </c>
      <c r="C22" s="31">
        <f>+E22/D22</f>
        <v/>
      </c>
      <c r="D22" s="32">
        <f>+VLOOKUP(B22,A$4:C$6,3,0)</f>
        <v/>
      </c>
      <c r="E22" s="77" t="n"/>
      <c r="F22" s="32" t="n"/>
    </row>
    <row r="23">
      <c r="A23" s="38" t="n"/>
      <c r="B23" s="38" t="inlineStr">
        <is>
          <t>diesal</t>
        </is>
      </c>
      <c r="C23" s="31">
        <f>+E23/D23</f>
        <v/>
      </c>
      <c r="D23" s="32">
        <f>+VLOOKUP(B23,A$4:C$6,3,0)</f>
        <v/>
      </c>
      <c r="E23" s="77" t="n"/>
      <c r="F23" s="32" t="n"/>
    </row>
    <row r="24">
      <c r="A24" s="38" t="n"/>
      <c r="B24" s="38" t="inlineStr">
        <is>
          <t>diesal</t>
        </is>
      </c>
      <c r="C24" s="31">
        <f>+E24/D24</f>
        <v/>
      </c>
      <c r="D24" s="32">
        <f>+VLOOKUP(B24,A$4:C$6,3,0)</f>
        <v/>
      </c>
      <c r="E24" s="31" t="n"/>
      <c r="F24" s="32" t="n"/>
      <c r="H24" s="30">
        <f>+H13+H14+H15</f>
        <v/>
      </c>
      <c r="I24" s="30">
        <f>+I13+I14+I15</f>
        <v/>
      </c>
      <c r="J24" s="30">
        <f>+J13+J14+J15</f>
        <v/>
      </c>
    </row>
    <row r="25">
      <c r="A25" s="38" t="n"/>
      <c r="B25" s="38" t="inlineStr">
        <is>
          <t>diesal</t>
        </is>
      </c>
      <c r="C25" s="31">
        <f>+E25/D25</f>
        <v/>
      </c>
      <c r="D25" s="32">
        <f>+VLOOKUP(B25,A$4:C$6,3,0)</f>
        <v/>
      </c>
      <c r="E25" s="31" t="n"/>
      <c r="F25" s="32" t="n"/>
      <c r="H25" s="30" t="n"/>
    </row>
    <row r="26">
      <c r="A26" s="32" t="n"/>
      <c r="B26" s="32" t="n"/>
      <c r="C26" s="31">
        <f>SUM(C15:C25)</f>
        <v/>
      </c>
      <c r="D26" s="31" t="n"/>
      <c r="E26" s="31">
        <f>SUM(E15:E25)</f>
        <v/>
      </c>
      <c r="F26" s="32" t="n"/>
      <c r="N26" t="n">
        <v>1</v>
      </c>
      <c r="O26" t="inlineStr">
        <is>
          <t>Unlimited power by Anthony robbins</t>
        </is>
      </c>
    </row>
    <row r="27">
      <c r="H27">
        <f>1037.67*108.45</f>
        <v/>
      </c>
      <c r="N27" t="n">
        <v>2</v>
      </c>
      <c r="O27" t="inlineStr">
        <is>
          <t>Compund effect</t>
        </is>
      </c>
      <c r="P27" t="inlineStr">
        <is>
          <t>by darren hardy</t>
        </is>
      </c>
    </row>
    <row r="28">
      <c r="N28" t="n">
        <v>3</v>
      </c>
      <c r="O28" t="inlineStr">
        <is>
          <t>leaders eat last</t>
        </is>
      </c>
    </row>
    <row r="29">
      <c r="N29" t="n">
        <v>4</v>
      </c>
      <c r="O29" t="inlineStr">
        <is>
          <t>attitute is everything</t>
        </is>
      </c>
      <c r="P29" t="inlineStr">
        <is>
          <t>jef caller</t>
        </is>
      </c>
    </row>
    <row r="30">
      <c r="N30" t="n">
        <v>5</v>
      </c>
      <c r="O30" t="inlineStr">
        <is>
          <t>seven strategies</t>
        </is>
      </c>
      <c r="P30" t="inlineStr">
        <is>
          <t>by jim rohn</t>
        </is>
      </c>
    </row>
    <row r="32">
      <c r="C32">
        <f>+C15+C16</f>
        <v/>
      </c>
    </row>
    <row r="35">
      <c r="H35" t="inlineStr">
        <is>
          <t>gdfg</t>
        </is>
      </c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3:G144"/>
  <sheetViews>
    <sheetView topLeftCell="A134" workbookViewId="0">
      <selection activeCell="F157" sqref="F157"/>
    </sheetView>
  </sheetViews>
  <sheetFormatPr baseColWidth="8" defaultRowHeight="14.4"/>
  <cols>
    <col width="10.6640625" bestFit="1" customWidth="1" min="1" max="1"/>
    <col width="17.88671875" bestFit="1" customWidth="1" min="2" max="2"/>
    <col width="17.5546875" customWidth="1" min="4" max="4"/>
    <col width="22.6640625" customWidth="1" min="5" max="5"/>
    <col width="18" customWidth="1" min="6" max="6"/>
    <col width="11.109375" bestFit="1" customWidth="1" min="7" max="7"/>
  </cols>
  <sheetData>
    <row r="3">
      <c r="A3" s="59" t="inlineStr">
        <is>
          <t>CREDIT DETAIL</t>
        </is>
      </c>
      <c r="B3" s="74" t="n"/>
      <c r="C3" s="74" t="n"/>
      <c r="D3" s="74" t="n"/>
      <c r="E3" s="74" t="n"/>
      <c r="F3" s="74" t="n"/>
      <c r="G3" s="66" t="n"/>
    </row>
    <row r="4">
      <c r="A4" s="32" t="n"/>
      <c r="B4" s="31" t="inlineStr">
        <is>
          <t>particular</t>
        </is>
      </c>
      <c r="C4" s="31" t="inlineStr">
        <is>
          <t xml:space="preserve">Type </t>
        </is>
      </c>
      <c r="D4" s="33" t="inlineStr">
        <is>
          <t>QTY</t>
        </is>
      </c>
      <c r="E4" s="33" t="inlineStr">
        <is>
          <t>RATE</t>
        </is>
      </c>
      <c r="F4" s="33" t="inlineStr">
        <is>
          <t>AMOUNT</t>
        </is>
      </c>
      <c r="G4" s="34" t="inlineStr">
        <is>
          <t>inv no</t>
        </is>
      </c>
    </row>
    <row r="5">
      <c r="A5" s="78" t="n">
        <v>45931</v>
      </c>
      <c r="B5" t="inlineStr">
        <is>
          <t>mool Chand yadav</t>
        </is>
      </c>
      <c r="C5" t="inlineStr">
        <is>
          <t>diesal</t>
        </is>
      </c>
      <c r="D5">
        <f>+F5/E5</f>
        <v/>
      </c>
      <c r="E5" t="n">
        <v>90.20999999999999</v>
      </c>
      <c r="F5" s="30" t="n">
        <v>12054.63</v>
      </c>
      <c r="G5" t="n">
        <v>22335</v>
      </c>
    </row>
    <row r="6">
      <c r="A6" s="78" t="n">
        <v>45931</v>
      </c>
      <c r="B6" t="inlineStr">
        <is>
          <t>mool Chand yadav</t>
        </is>
      </c>
      <c r="C6" t="inlineStr">
        <is>
          <t>diesal</t>
        </is>
      </c>
      <c r="D6">
        <f>+F6/E6</f>
        <v/>
      </c>
      <c r="E6" t="n">
        <v>90.20999999999999</v>
      </c>
      <c r="F6" s="30" t="n">
        <v>523.55</v>
      </c>
      <c r="G6" t="n">
        <v>22336</v>
      </c>
    </row>
    <row r="7">
      <c r="A7" s="78" t="n">
        <v>45931</v>
      </c>
      <c r="B7" t="inlineStr">
        <is>
          <t>Moolchand Mali</t>
        </is>
      </c>
      <c r="C7" t="inlineStr">
        <is>
          <t>diesal</t>
        </is>
      </c>
      <c r="D7">
        <f>+F7/E7</f>
        <v/>
      </c>
      <c r="E7" t="n">
        <v>90.20999999999999</v>
      </c>
      <c r="F7" s="30" t="n">
        <v>3180.04</v>
      </c>
      <c r="G7" t="n">
        <v>22337</v>
      </c>
    </row>
    <row r="8">
      <c r="B8" t="inlineStr">
        <is>
          <t>Total</t>
        </is>
      </c>
      <c r="F8" s="30">
        <f>SUM(F5:F7)</f>
        <v/>
      </c>
    </row>
    <row r="9">
      <c r="A9" s="78" t="n">
        <v>45932</v>
      </c>
      <c r="B9" t="inlineStr">
        <is>
          <t>Piploda</t>
        </is>
      </c>
      <c r="C9" t="inlineStr">
        <is>
          <t>diesal</t>
        </is>
      </c>
      <c r="D9">
        <f>+F9/E9</f>
        <v/>
      </c>
      <c r="E9" t="n">
        <v>90.20999999999999</v>
      </c>
      <c r="F9" s="30" t="n">
        <v>22070.77</v>
      </c>
      <c r="G9" t="n">
        <v>22339</v>
      </c>
    </row>
    <row r="10">
      <c r="A10" s="78" t="n">
        <v>45932</v>
      </c>
      <c r="B10" t="inlineStr">
        <is>
          <t>arjun</t>
        </is>
      </c>
      <c r="C10" t="inlineStr">
        <is>
          <t>diesal</t>
        </is>
      </c>
      <c r="D10">
        <f>+F10/E10</f>
        <v/>
      </c>
      <c r="E10" t="n">
        <v>90.20999999999999</v>
      </c>
      <c r="F10" s="30" t="n">
        <v>21851.56</v>
      </c>
      <c r="G10" t="n">
        <v>22340</v>
      </c>
    </row>
    <row r="11">
      <c r="A11" s="78" t="n">
        <v>45932</v>
      </c>
      <c r="B11" t="inlineStr">
        <is>
          <t>Shyam Tran.</t>
        </is>
      </c>
      <c r="C11" t="inlineStr">
        <is>
          <t>diesal</t>
        </is>
      </c>
      <c r="D11">
        <f>+F11/E11</f>
        <v/>
      </c>
      <c r="E11" t="n">
        <v>90.20999999999999</v>
      </c>
      <c r="F11" s="30" t="n">
        <v>3540.74</v>
      </c>
      <c r="G11" t="n">
        <v>22342</v>
      </c>
    </row>
    <row r="12">
      <c r="B12" t="inlineStr">
        <is>
          <t>Total</t>
        </is>
      </c>
      <c r="F12" s="30">
        <f>SUM(F9:F11)</f>
        <v/>
      </c>
    </row>
    <row r="13">
      <c r="A13" s="78" t="n">
        <v>45933</v>
      </c>
      <c r="B13" t="inlineStr">
        <is>
          <t>mool Chand yadav</t>
        </is>
      </c>
      <c r="C13" t="inlineStr">
        <is>
          <t>diesal</t>
        </is>
      </c>
      <c r="D13">
        <f>+F13/E13</f>
        <v/>
      </c>
      <c r="E13" t="n">
        <v>90.20999999999999</v>
      </c>
      <c r="F13" s="30" t="n">
        <v>20454.21</v>
      </c>
      <c r="G13" t="n">
        <v>22343</v>
      </c>
    </row>
    <row r="14">
      <c r="A14" s="78" t="n">
        <v>45933</v>
      </c>
      <c r="B14" t="inlineStr">
        <is>
          <t>mool Chand yadav</t>
        </is>
      </c>
      <c r="C14" t="inlineStr">
        <is>
          <t>diesal</t>
        </is>
      </c>
      <c r="D14">
        <f>+F14/E14</f>
        <v/>
      </c>
      <c r="E14" t="n">
        <v>90.20999999999999</v>
      </c>
      <c r="F14" s="30" t="n">
        <v>750</v>
      </c>
      <c r="G14" t="n">
        <v>22344</v>
      </c>
    </row>
    <row r="15">
      <c r="A15" s="78" t="n">
        <v>45933</v>
      </c>
      <c r="B15" t="inlineStr">
        <is>
          <t>Piploda</t>
        </is>
      </c>
      <c r="C15" t="inlineStr">
        <is>
          <t>diesal</t>
        </is>
      </c>
      <c r="D15">
        <f>+F15/E15</f>
        <v/>
      </c>
      <c r="E15" t="n">
        <v>90.20999999999999</v>
      </c>
      <c r="F15" s="30" t="n">
        <v>20000</v>
      </c>
      <c r="G15" t="n">
        <v>22345</v>
      </c>
    </row>
    <row r="16">
      <c r="A16" s="78" t="n">
        <v>45933</v>
      </c>
      <c r="B16" t="inlineStr">
        <is>
          <t>arjun</t>
        </is>
      </c>
      <c r="C16" t="inlineStr">
        <is>
          <t>diesal</t>
        </is>
      </c>
      <c r="D16">
        <f>+F16/E16</f>
        <v/>
      </c>
      <c r="E16" t="n">
        <v>90.20999999999999</v>
      </c>
      <c r="F16" s="30" t="n">
        <v>34000.14</v>
      </c>
      <c r="G16" t="n">
        <v>22346</v>
      </c>
    </row>
    <row r="17">
      <c r="A17" s="78" t="n">
        <v>45933</v>
      </c>
      <c r="B17" t="inlineStr">
        <is>
          <t>Shyam Tran.</t>
        </is>
      </c>
      <c r="C17" t="inlineStr">
        <is>
          <t>diesal</t>
        </is>
      </c>
      <c r="D17">
        <f>+F17/E17</f>
        <v/>
      </c>
      <c r="E17" t="n">
        <v>90.20999999999999</v>
      </c>
      <c r="F17" s="30" t="n">
        <v>4275.05</v>
      </c>
      <c r="G17" t="n">
        <v>22348</v>
      </c>
    </row>
    <row r="18">
      <c r="A18" s="78" t="n">
        <v>45933</v>
      </c>
      <c r="B18" t="inlineStr">
        <is>
          <t>Shyam Tran.</t>
        </is>
      </c>
      <c r="C18" t="inlineStr">
        <is>
          <t>diesal</t>
        </is>
      </c>
      <c r="D18">
        <f>+F18/E18</f>
        <v/>
      </c>
      <c r="E18" t="n">
        <v>90.20999999999999</v>
      </c>
      <c r="F18" s="30" t="n">
        <v>3000.38</v>
      </c>
      <c r="G18" t="n">
        <v>22351</v>
      </c>
    </row>
    <row r="19">
      <c r="A19" s="78" t="n">
        <v>45933</v>
      </c>
      <c r="B19" t="inlineStr">
        <is>
          <t>Shyam Tran.</t>
        </is>
      </c>
      <c r="C19" t="inlineStr">
        <is>
          <t>diesal</t>
        </is>
      </c>
      <c r="D19">
        <f>+F19/E19</f>
        <v/>
      </c>
      <c r="E19" t="n">
        <v>90.20999999999999</v>
      </c>
      <c r="F19" s="30" t="n">
        <v>4788.34</v>
      </c>
      <c r="G19" t="n">
        <v>22352</v>
      </c>
    </row>
    <row r="20">
      <c r="A20" s="78" t="n">
        <v>45933</v>
      </c>
      <c r="B20" t="inlineStr">
        <is>
          <t>dinesh</t>
        </is>
      </c>
      <c r="C20" t="inlineStr">
        <is>
          <t>diesal</t>
        </is>
      </c>
      <c r="D20">
        <f>+F20/E20</f>
        <v/>
      </c>
      <c r="E20" t="n">
        <v>90.20999999999999</v>
      </c>
      <c r="F20" s="30" t="n">
        <v>3600.28</v>
      </c>
      <c r="G20" t="n">
        <v>22353</v>
      </c>
    </row>
    <row r="21">
      <c r="B21" t="inlineStr">
        <is>
          <t>Total</t>
        </is>
      </c>
      <c r="F21" s="30">
        <f>SUM(F13:F20)</f>
        <v/>
      </c>
    </row>
    <row r="22">
      <c r="A22" s="78" t="n">
        <v>45934</v>
      </c>
      <c r="B22" t="inlineStr">
        <is>
          <t>Piploda</t>
        </is>
      </c>
      <c r="C22" t="inlineStr">
        <is>
          <t>diesal</t>
        </is>
      </c>
      <c r="D22">
        <f>+F22/E22</f>
        <v/>
      </c>
      <c r="E22" t="n">
        <v>90.20999999999999</v>
      </c>
      <c r="F22" s="30" t="n">
        <v>22419.89</v>
      </c>
      <c r="G22" t="n">
        <v>22354</v>
      </c>
    </row>
    <row r="23">
      <c r="A23" s="78" t="n">
        <v>45934</v>
      </c>
      <c r="B23" t="inlineStr">
        <is>
          <t>arjun</t>
        </is>
      </c>
      <c r="C23" t="inlineStr">
        <is>
          <t>diesal</t>
        </is>
      </c>
      <c r="D23">
        <f>+F23/E23</f>
        <v/>
      </c>
      <c r="E23" t="n">
        <v>90.20999999999999</v>
      </c>
      <c r="F23" s="30" t="n">
        <v>44128.92</v>
      </c>
      <c r="G23" t="n">
        <v>22356</v>
      </c>
    </row>
    <row r="24">
      <c r="A24" s="78" t="n">
        <v>45934</v>
      </c>
      <c r="B24" t="inlineStr">
        <is>
          <t>mk Soler</t>
        </is>
      </c>
      <c r="C24" t="inlineStr">
        <is>
          <t>diesal</t>
        </is>
      </c>
      <c r="D24">
        <f>+F24/E24</f>
        <v/>
      </c>
      <c r="E24" t="n">
        <v>90.20999999999999</v>
      </c>
      <c r="F24" s="30" t="n">
        <v>3500.45</v>
      </c>
      <c r="G24" t="n">
        <v>22360</v>
      </c>
    </row>
    <row r="25">
      <c r="B25" t="inlineStr">
        <is>
          <t>Total</t>
        </is>
      </c>
      <c r="F25" s="30">
        <f>SUM(F22:F24)</f>
        <v/>
      </c>
    </row>
    <row r="26">
      <c r="A26" s="78" t="n">
        <v>45935</v>
      </c>
      <c r="B26" t="inlineStr">
        <is>
          <t>mool Chand yadav</t>
        </is>
      </c>
      <c r="C26" t="inlineStr">
        <is>
          <t>diesal</t>
        </is>
      </c>
      <c r="D26">
        <f>+F26/E26</f>
        <v/>
      </c>
      <c r="E26" t="n">
        <v>90.20999999999999</v>
      </c>
      <c r="F26" s="30" t="n">
        <v>21212.89</v>
      </c>
      <c r="G26" t="n">
        <v>22363</v>
      </c>
    </row>
    <row r="27">
      <c r="A27" s="78" t="n">
        <v>45935</v>
      </c>
      <c r="B27" t="inlineStr">
        <is>
          <t>Piploda</t>
        </is>
      </c>
      <c r="C27" t="inlineStr">
        <is>
          <t>diesal</t>
        </is>
      </c>
      <c r="D27">
        <f>+F27/E27</f>
        <v/>
      </c>
      <c r="E27" t="n">
        <v>90.20999999999999</v>
      </c>
      <c r="F27" s="30" t="n">
        <v>29065.66</v>
      </c>
      <c r="G27" t="n">
        <v>22364</v>
      </c>
    </row>
    <row r="28">
      <c r="A28" s="78" t="n">
        <v>45935</v>
      </c>
      <c r="B28" t="inlineStr">
        <is>
          <t>arjun</t>
        </is>
      </c>
      <c r="C28" t="inlineStr">
        <is>
          <t>diesal</t>
        </is>
      </c>
      <c r="D28">
        <f>+F28/E28</f>
        <v/>
      </c>
      <c r="E28" t="n">
        <v>90.20999999999999</v>
      </c>
      <c r="F28" s="30" t="n">
        <v>22429.81</v>
      </c>
      <c r="G28" t="n">
        <v>22365</v>
      </c>
    </row>
    <row r="29">
      <c r="A29" s="78" t="n">
        <v>45935</v>
      </c>
      <c r="B29" t="inlineStr">
        <is>
          <t>dinesh</t>
        </is>
      </c>
      <c r="C29" t="inlineStr">
        <is>
          <t>diesal</t>
        </is>
      </c>
      <c r="D29">
        <f>+F29/E29</f>
        <v/>
      </c>
      <c r="E29" t="n">
        <v>90.20999999999999</v>
      </c>
      <c r="F29" s="30" t="n">
        <v>3502.85</v>
      </c>
      <c r="G29" t="n">
        <v>22366</v>
      </c>
    </row>
    <row r="30">
      <c r="A30" s="78" t="n">
        <v>45935</v>
      </c>
      <c r="B30" t="inlineStr">
        <is>
          <t>monu</t>
        </is>
      </c>
      <c r="C30" t="inlineStr">
        <is>
          <t>diesal</t>
        </is>
      </c>
      <c r="D30">
        <f>+F30/E30</f>
        <v/>
      </c>
      <c r="E30" t="n">
        <v>90.20999999999999</v>
      </c>
      <c r="F30" s="30" t="n">
        <v>9199.66</v>
      </c>
      <c r="G30" t="n">
        <v>22367</v>
      </c>
    </row>
    <row r="31">
      <c r="A31" s="78" t="n">
        <v>45935</v>
      </c>
      <c r="B31" t="inlineStr">
        <is>
          <t>arjun</t>
        </is>
      </c>
      <c r="C31" t="inlineStr">
        <is>
          <t>diesal</t>
        </is>
      </c>
      <c r="D31">
        <f>+F31/E31</f>
        <v/>
      </c>
      <c r="E31" t="n">
        <v>90.20999999999999</v>
      </c>
      <c r="F31" s="30" t="n">
        <v>3349.49</v>
      </c>
      <c r="G31" t="n">
        <v>22368</v>
      </c>
    </row>
    <row r="32">
      <c r="B32" t="inlineStr">
        <is>
          <t>Total</t>
        </is>
      </c>
      <c r="F32" s="30">
        <f>SUM(F26:F31)</f>
        <v/>
      </c>
    </row>
    <row r="33">
      <c r="A33" s="78" t="n">
        <v>45936</v>
      </c>
      <c r="B33" t="inlineStr">
        <is>
          <t>Piploda</t>
        </is>
      </c>
      <c r="C33" t="inlineStr">
        <is>
          <t>diesal</t>
        </is>
      </c>
      <c r="D33">
        <f>+F33/E33</f>
        <v/>
      </c>
      <c r="E33" t="n">
        <v>90.20999999999999</v>
      </c>
      <c r="F33" s="30" t="n">
        <v>8799.98</v>
      </c>
      <c r="G33" t="n">
        <v>22369</v>
      </c>
    </row>
    <row r="34">
      <c r="A34" s="78" t="n">
        <v>45936</v>
      </c>
      <c r="B34" t="inlineStr">
        <is>
          <t>arjun</t>
        </is>
      </c>
      <c r="C34" t="inlineStr">
        <is>
          <t>diesal</t>
        </is>
      </c>
      <c r="D34">
        <f>+F34/E34</f>
        <v/>
      </c>
      <c r="E34" t="n">
        <v>90.20999999999999</v>
      </c>
      <c r="F34" s="30" t="n">
        <v>43099.63</v>
      </c>
      <c r="G34" t="n">
        <v>22370</v>
      </c>
    </row>
    <row r="35">
      <c r="A35" s="78" t="n">
        <v>45936</v>
      </c>
      <c r="B35" t="inlineStr">
        <is>
          <t>sayar School</t>
        </is>
      </c>
      <c r="C35" t="inlineStr">
        <is>
          <t>diesal</t>
        </is>
      </c>
      <c r="D35">
        <f>+F35/E35</f>
        <v/>
      </c>
      <c r="E35" t="n">
        <v>90.20999999999999</v>
      </c>
      <c r="F35" s="30" t="n">
        <v>3957</v>
      </c>
      <c r="G35" t="n">
        <v>22371</v>
      </c>
    </row>
    <row r="36">
      <c r="A36" s="78" t="n">
        <v>45936</v>
      </c>
      <c r="B36" t="inlineStr">
        <is>
          <t>vandana School</t>
        </is>
      </c>
      <c r="C36" t="inlineStr">
        <is>
          <t>diesal</t>
        </is>
      </c>
      <c r="D36">
        <f>+F36/E36</f>
        <v/>
      </c>
      <c r="E36" t="n">
        <v>90.20999999999999</v>
      </c>
      <c r="F36" s="30" t="n">
        <v>12458.9</v>
      </c>
      <c r="G36" t="n">
        <v>22372</v>
      </c>
    </row>
    <row r="37">
      <c r="A37" s="78" t="n">
        <v>45936</v>
      </c>
      <c r="B37" t="inlineStr">
        <is>
          <t>Shyam Tran.</t>
        </is>
      </c>
      <c r="C37" t="inlineStr">
        <is>
          <t>diesal</t>
        </is>
      </c>
      <c r="D37">
        <f>+F37/E37</f>
        <v/>
      </c>
      <c r="E37" t="n">
        <v>90.20999999999999</v>
      </c>
      <c r="F37" s="30" t="n">
        <v>2000</v>
      </c>
      <c r="G37" t="n">
        <v>22375</v>
      </c>
    </row>
    <row r="38">
      <c r="A38" s="78" t="n">
        <v>45936</v>
      </c>
      <c r="B38" t="inlineStr">
        <is>
          <t>Shyam Tran.</t>
        </is>
      </c>
      <c r="C38" t="inlineStr">
        <is>
          <t>diesal</t>
        </is>
      </c>
      <c r="D38">
        <f>+F38/E38</f>
        <v/>
      </c>
      <c r="E38" t="n">
        <v>90.20999999999999</v>
      </c>
      <c r="F38" s="30" t="n">
        <v>1746</v>
      </c>
      <c r="G38" t="n">
        <v>22377</v>
      </c>
    </row>
    <row r="39">
      <c r="B39" t="inlineStr">
        <is>
          <t>Total</t>
        </is>
      </c>
      <c r="F39" s="30">
        <f>SUM(F33:F38)</f>
        <v/>
      </c>
    </row>
    <row r="40">
      <c r="A40" s="78" t="n">
        <v>45937</v>
      </c>
      <c r="B40" t="inlineStr">
        <is>
          <t>Piploda</t>
        </is>
      </c>
      <c r="C40" t="inlineStr">
        <is>
          <t>diesal</t>
        </is>
      </c>
      <c r="D40">
        <f>+F40/E40</f>
        <v/>
      </c>
      <c r="E40" t="n">
        <v>90.20999999999999</v>
      </c>
      <c r="F40" s="30" t="n">
        <v>9000</v>
      </c>
      <c r="G40" t="n">
        <v>22378</v>
      </c>
    </row>
    <row r="41">
      <c r="A41" s="78" t="n">
        <v>45937</v>
      </c>
      <c r="B41" t="inlineStr">
        <is>
          <t>mool Chand yadav</t>
        </is>
      </c>
      <c r="C41" t="inlineStr">
        <is>
          <t>diesal</t>
        </is>
      </c>
      <c r="D41">
        <f>+F41/E41</f>
        <v/>
      </c>
      <c r="E41" t="n">
        <v>90.20999999999999</v>
      </c>
      <c r="F41" s="30" t="n">
        <v>20025.71</v>
      </c>
      <c r="G41" t="n">
        <v>22379</v>
      </c>
    </row>
    <row r="42">
      <c r="A42" s="78" t="n">
        <v>45937</v>
      </c>
      <c r="B42" t="inlineStr">
        <is>
          <t>Shyam Tran.</t>
        </is>
      </c>
      <c r="C42" t="inlineStr">
        <is>
          <t>diesal</t>
        </is>
      </c>
      <c r="D42">
        <f>+F42/E42</f>
        <v/>
      </c>
      <c r="E42" t="n">
        <v>90.20999999999999</v>
      </c>
      <c r="F42" s="30" t="n">
        <v>3190</v>
      </c>
      <c r="G42" t="n">
        <v>22381</v>
      </c>
    </row>
    <row r="43">
      <c r="A43" s="78" t="n">
        <v>45937</v>
      </c>
      <c r="B43" t="inlineStr">
        <is>
          <t>Shyam Tran.</t>
        </is>
      </c>
      <c r="C43" t="inlineStr">
        <is>
          <t>diesal</t>
        </is>
      </c>
      <c r="D43">
        <f>+F43/E43</f>
        <v/>
      </c>
      <c r="E43" t="n">
        <v>90.20999999999999</v>
      </c>
      <c r="F43" s="30" t="n">
        <v>3611.19</v>
      </c>
      <c r="G43" t="n">
        <v>22384</v>
      </c>
    </row>
    <row r="44">
      <c r="B44" t="inlineStr">
        <is>
          <t>Total</t>
        </is>
      </c>
      <c r="F44" s="30">
        <f>SUM(F40:F43)</f>
        <v/>
      </c>
    </row>
    <row r="45">
      <c r="A45" s="78" t="n">
        <v>45938</v>
      </c>
      <c r="B45" t="inlineStr">
        <is>
          <t>arjun</t>
        </is>
      </c>
      <c r="C45" t="inlineStr">
        <is>
          <t>diesal</t>
        </is>
      </c>
      <c r="D45">
        <f>+F45/E45</f>
        <v/>
      </c>
      <c r="E45" t="n">
        <v>90.20999999999999</v>
      </c>
      <c r="F45" s="30" t="n">
        <v>34499.31</v>
      </c>
      <c r="G45" t="n">
        <v>22385</v>
      </c>
    </row>
    <row r="46">
      <c r="A46" s="78" t="n">
        <v>45938</v>
      </c>
      <c r="B46" t="inlineStr">
        <is>
          <t>Shyam Tran.</t>
        </is>
      </c>
      <c r="C46" t="inlineStr">
        <is>
          <t>diesal</t>
        </is>
      </c>
      <c r="D46">
        <f>+F46/E46</f>
        <v/>
      </c>
      <c r="E46" t="n">
        <v>90.20999999999999</v>
      </c>
      <c r="F46" s="30" t="n">
        <v>4697.23</v>
      </c>
      <c r="G46" t="n">
        <v>22386</v>
      </c>
    </row>
    <row r="47">
      <c r="B47" t="inlineStr">
        <is>
          <t>Total</t>
        </is>
      </c>
      <c r="F47" s="30">
        <f>SUM(F45:F46)</f>
        <v/>
      </c>
    </row>
    <row r="48">
      <c r="A48" s="78" t="n">
        <v>45939</v>
      </c>
      <c r="B48" t="inlineStr">
        <is>
          <t>mool Chand yadav</t>
        </is>
      </c>
      <c r="C48" t="inlineStr">
        <is>
          <t>diesal</t>
        </is>
      </c>
      <c r="D48">
        <f>+F48/E48</f>
        <v/>
      </c>
      <c r="E48" t="n">
        <v>90.20999999999999</v>
      </c>
      <c r="F48" s="30" t="n">
        <v>20445.19</v>
      </c>
      <c r="G48" t="n">
        <v>22387</v>
      </c>
    </row>
    <row r="49">
      <c r="A49" s="78" t="n">
        <v>45939</v>
      </c>
      <c r="B49" t="inlineStr">
        <is>
          <t>arjun</t>
        </is>
      </c>
      <c r="C49" t="inlineStr">
        <is>
          <t>diesal</t>
        </is>
      </c>
      <c r="D49">
        <f>+F49/E49</f>
        <v/>
      </c>
      <c r="E49" t="n">
        <v>90.20999999999999</v>
      </c>
      <c r="F49" s="30" t="n">
        <v>31715.12</v>
      </c>
      <c r="G49" t="n">
        <v>22388</v>
      </c>
    </row>
    <row r="50">
      <c r="A50" s="78" t="n">
        <v>45939</v>
      </c>
      <c r="B50" t="inlineStr">
        <is>
          <t>Shyam Tran.</t>
        </is>
      </c>
      <c r="C50" t="inlineStr">
        <is>
          <t>diesal</t>
        </is>
      </c>
      <c r="D50">
        <f>+F50/E50</f>
        <v/>
      </c>
      <c r="E50" t="n">
        <v>90.20999999999999</v>
      </c>
      <c r="F50" s="30" t="n">
        <v>3563.29</v>
      </c>
      <c r="G50" t="n">
        <v>22389</v>
      </c>
    </row>
    <row r="51">
      <c r="A51" s="78" t="n">
        <v>45939</v>
      </c>
      <c r="B51" t="inlineStr">
        <is>
          <t>arjun</t>
        </is>
      </c>
      <c r="C51" t="inlineStr">
        <is>
          <t>diesal</t>
        </is>
      </c>
      <c r="D51">
        <f>+F51/E51</f>
        <v/>
      </c>
      <c r="E51" t="n">
        <v>90.20999999999999</v>
      </c>
      <c r="F51" s="30" t="n">
        <v>1899.68</v>
      </c>
      <c r="G51" t="n">
        <v>22391</v>
      </c>
    </row>
    <row r="52">
      <c r="B52" t="inlineStr">
        <is>
          <t>Total</t>
        </is>
      </c>
      <c r="F52" s="30">
        <f>SUM(F48:F51)</f>
        <v/>
      </c>
    </row>
    <row r="53">
      <c r="A53" s="78" t="n">
        <v>45940</v>
      </c>
      <c r="B53" t="inlineStr">
        <is>
          <t>vandana School</t>
        </is>
      </c>
      <c r="C53" t="inlineStr">
        <is>
          <t>diesal</t>
        </is>
      </c>
      <c r="D53">
        <f>+F53/E53</f>
        <v/>
      </c>
      <c r="E53" t="n">
        <v>90.20999999999999</v>
      </c>
      <c r="F53" s="30" t="n">
        <v>11933.88</v>
      </c>
      <c r="G53" t="n">
        <v>22393</v>
      </c>
    </row>
    <row r="54">
      <c r="A54" s="78" t="n">
        <v>45940</v>
      </c>
      <c r="B54" t="inlineStr">
        <is>
          <t>Piploda</t>
        </is>
      </c>
      <c r="C54" t="inlineStr">
        <is>
          <t>diesal</t>
        </is>
      </c>
      <c r="D54">
        <f>+F54/E54</f>
        <v/>
      </c>
      <c r="E54" t="n">
        <v>90.20999999999999</v>
      </c>
      <c r="F54" s="30" t="n">
        <v>8412.08</v>
      </c>
      <c r="G54" t="n">
        <v>22397</v>
      </c>
    </row>
    <row r="55">
      <c r="A55" s="78" t="n">
        <v>45940</v>
      </c>
      <c r="B55" t="inlineStr">
        <is>
          <t>dinesh</t>
        </is>
      </c>
      <c r="C55" t="inlineStr">
        <is>
          <t>diesal</t>
        </is>
      </c>
      <c r="D55">
        <f>+F55/E55</f>
        <v/>
      </c>
      <c r="E55" t="n">
        <v>90.20999999999999</v>
      </c>
      <c r="F55" s="30" t="n">
        <v>3899.77</v>
      </c>
      <c r="G55" t="n">
        <v>22398</v>
      </c>
    </row>
    <row r="56">
      <c r="A56" s="78" t="n">
        <v>45940</v>
      </c>
      <c r="B56" t="inlineStr">
        <is>
          <t>mool Chand yadav</t>
        </is>
      </c>
      <c r="C56" t="inlineStr">
        <is>
          <t>diesal</t>
        </is>
      </c>
      <c r="D56">
        <f>+F56/E56</f>
        <v/>
      </c>
      <c r="E56" t="n">
        <v>90.20999999999999</v>
      </c>
      <c r="F56" s="30" t="n">
        <v>399.99</v>
      </c>
      <c r="G56" t="n">
        <v>22399</v>
      </c>
    </row>
    <row r="57">
      <c r="B57" t="inlineStr">
        <is>
          <t>Total</t>
        </is>
      </c>
      <c r="F57" s="30">
        <f>SUM(F53:F56)</f>
        <v/>
      </c>
    </row>
    <row r="58">
      <c r="A58" s="78" t="n">
        <v>45941</v>
      </c>
      <c r="B58" t="inlineStr">
        <is>
          <t>mool Chand yadav</t>
        </is>
      </c>
      <c r="C58" t="inlineStr">
        <is>
          <t>diesal</t>
        </is>
      </c>
      <c r="D58">
        <f>+F58/E58</f>
        <v/>
      </c>
      <c r="E58" t="n">
        <v>90.20999999999999</v>
      </c>
      <c r="F58" s="30" t="n">
        <v>19726.22</v>
      </c>
      <c r="G58" t="n">
        <v>22401</v>
      </c>
    </row>
    <row r="59">
      <c r="A59" s="78" t="n">
        <v>45941</v>
      </c>
      <c r="B59" t="inlineStr">
        <is>
          <t>arjun</t>
        </is>
      </c>
      <c r="C59" t="inlineStr">
        <is>
          <t>diesal</t>
        </is>
      </c>
      <c r="D59">
        <f>+F59/E59</f>
        <v/>
      </c>
      <c r="E59" t="n">
        <v>90.20999999999999</v>
      </c>
      <c r="F59" s="30" t="n">
        <v>4984.1</v>
      </c>
      <c r="G59" t="n">
        <v>22402</v>
      </c>
    </row>
    <row r="60">
      <c r="A60" s="78" t="n">
        <v>45941</v>
      </c>
      <c r="B60" t="inlineStr">
        <is>
          <t>arjun</t>
        </is>
      </c>
      <c r="C60" t="inlineStr">
        <is>
          <t>diesal</t>
        </is>
      </c>
      <c r="D60">
        <f>+F60/E60</f>
        <v/>
      </c>
      <c r="E60" t="n">
        <v>90.20999999999999</v>
      </c>
      <c r="F60" s="30" t="n">
        <v>24226.79</v>
      </c>
      <c r="G60" t="n">
        <v>22405</v>
      </c>
    </row>
    <row r="61">
      <c r="A61" s="78" t="n">
        <v>45941</v>
      </c>
      <c r="B61" t="inlineStr">
        <is>
          <t>dinesh</t>
        </is>
      </c>
      <c r="C61" t="inlineStr">
        <is>
          <t>diesal</t>
        </is>
      </c>
      <c r="D61">
        <f>+F61/E61</f>
        <v/>
      </c>
      <c r="E61" t="n">
        <v>90.20999999999999</v>
      </c>
      <c r="F61" s="30" t="n">
        <v>2400.48</v>
      </c>
      <c r="G61" t="n">
        <v>22407</v>
      </c>
    </row>
    <row r="62">
      <c r="B62" t="inlineStr">
        <is>
          <t>Total</t>
        </is>
      </c>
      <c r="F62" s="30">
        <f>SUM(F58:F61)</f>
        <v/>
      </c>
    </row>
    <row r="63">
      <c r="A63" s="78" t="n">
        <v>45942</v>
      </c>
      <c r="B63" t="inlineStr">
        <is>
          <t>arjun</t>
        </is>
      </c>
      <c r="C63" t="inlineStr">
        <is>
          <t>diesal</t>
        </is>
      </c>
      <c r="D63">
        <f>+F63/E63</f>
        <v/>
      </c>
      <c r="E63" t="n">
        <v>90.20999999999999</v>
      </c>
      <c r="F63" s="30" t="n">
        <v>29500.47</v>
      </c>
      <c r="G63" t="n">
        <v>22408</v>
      </c>
    </row>
    <row r="64">
      <c r="B64" t="inlineStr">
        <is>
          <t>Total</t>
        </is>
      </c>
      <c r="F64" s="30">
        <f>SUM(F63:F63)</f>
        <v/>
      </c>
    </row>
    <row r="65">
      <c r="A65" s="78" t="n">
        <v>45943</v>
      </c>
      <c r="B65" t="inlineStr">
        <is>
          <t>mool Chand yadav</t>
        </is>
      </c>
      <c r="C65" t="inlineStr">
        <is>
          <t>diesal</t>
        </is>
      </c>
      <c r="D65">
        <f>+F65/E65</f>
        <v/>
      </c>
      <c r="E65" t="n">
        <v>90.20999999999999</v>
      </c>
      <c r="F65" s="30" t="n">
        <v>20549.83</v>
      </c>
      <c r="G65" t="n">
        <v>22409</v>
      </c>
    </row>
    <row r="66">
      <c r="A66" s="78" t="n">
        <v>45943</v>
      </c>
      <c r="B66" t="inlineStr">
        <is>
          <t>mool Chand yadav</t>
        </is>
      </c>
      <c r="C66" t="inlineStr">
        <is>
          <t>diesal</t>
        </is>
      </c>
      <c r="D66">
        <f>+F66/E66</f>
        <v/>
      </c>
      <c r="E66" t="n">
        <v>90.20999999999999</v>
      </c>
      <c r="F66" s="30" t="n">
        <v>523.55</v>
      </c>
      <c r="G66" t="n">
        <v>22410</v>
      </c>
    </row>
    <row r="67">
      <c r="A67" s="78" t="n">
        <v>45943</v>
      </c>
      <c r="B67" t="inlineStr">
        <is>
          <t>sayar School</t>
        </is>
      </c>
      <c r="C67" t="inlineStr">
        <is>
          <t>diesal</t>
        </is>
      </c>
      <c r="D67">
        <f>+F67/E67</f>
        <v/>
      </c>
      <c r="E67" t="n">
        <v>90.20999999999999</v>
      </c>
      <c r="F67" s="30" t="n">
        <v>14013.22</v>
      </c>
      <c r="G67" t="n">
        <v>22411</v>
      </c>
    </row>
    <row r="68">
      <c r="A68" s="78" t="n">
        <v>45943</v>
      </c>
      <c r="B68" t="inlineStr">
        <is>
          <t>Piploda</t>
        </is>
      </c>
      <c r="C68" t="inlineStr">
        <is>
          <t>diesal</t>
        </is>
      </c>
      <c r="D68">
        <f>+F68/E68</f>
        <v/>
      </c>
      <c r="E68" t="n">
        <v>90.20999999999999</v>
      </c>
      <c r="F68" s="30" t="n">
        <v>21644.98</v>
      </c>
      <c r="G68" t="n">
        <v>22412</v>
      </c>
    </row>
    <row r="69">
      <c r="A69" s="78" t="n">
        <v>45943</v>
      </c>
      <c r="B69" t="inlineStr">
        <is>
          <t>monu</t>
        </is>
      </c>
      <c r="C69" t="inlineStr">
        <is>
          <t>diesal</t>
        </is>
      </c>
      <c r="D69">
        <f>+F69/E69</f>
        <v/>
      </c>
      <c r="E69" t="n">
        <v>90.20999999999999</v>
      </c>
      <c r="F69" s="30" t="n">
        <v>8011.53</v>
      </c>
      <c r="G69" t="n">
        <v>22414</v>
      </c>
    </row>
    <row r="70">
      <c r="A70" s="78" t="n">
        <v>45943</v>
      </c>
      <c r="B70" t="inlineStr">
        <is>
          <t>Shyam Tran.</t>
        </is>
      </c>
      <c r="C70" t="inlineStr">
        <is>
          <t>diesal</t>
        </is>
      </c>
      <c r="D70">
        <f>+F70/E70</f>
        <v/>
      </c>
      <c r="E70" t="n">
        <v>90.20999999999999</v>
      </c>
      <c r="F70" s="30" t="n">
        <v>4601.61</v>
      </c>
      <c r="G70" t="n">
        <v>22416</v>
      </c>
    </row>
    <row r="71">
      <c r="B71" t="inlineStr">
        <is>
          <t>Total</t>
        </is>
      </c>
      <c r="F71" s="30">
        <f>SUM(F65:F70)</f>
        <v/>
      </c>
    </row>
    <row r="72">
      <c r="A72" s="78" t="n">
        <v>45944</v>
      </c>
      <c r="B72" t="inlineStr">
        <is>
          <t>Piploda</t>
        </is>
      </c>
      <c r="C72" t="inlineStr">
        <is>
          <t>diesal</t>
        </is>
      </c>
      <c r="D72">
        <f>+F72/E72</f>
        <v/>
      </c>
      <c r="E72" t="n">
        <v>90.20999999999999</v>
      </c>
      <c r="F72" s="30" t="n">
        <v>20000</v>
      </c>
      <c r="G72" t="n">
        <v>22417</v>
      </c>
    </row>
    <row r="73">
      <c r="A73" s="78" t="n">
        <v>45944</v>
      </c>
      <c r="B73" t="inlineStr">
        <is>
          <t>indra devi</t>
        </is>
      </c>
      <c r="C73" t="inlineStr">
        <is>
          <t>diesal</t>
        </is>
      </c>
      <c r="D73">
        <f>+F73/E73</f>
        <v/>
      </c>
      <c r="E73" t="n">
        <v>90.20999999999999</v>
      </c>
      <c r="F73" s="30" t="n">
        <v>43999.92</v>
      </c>
      <c r="G73" t="n">
        <v>22419</v>
      </c>
    </row>
    <row r="74">
      <c r="B74" t="inlineStr">
        <is>
          <t>Total</t>
        </is>
      </c>
      <c r="F74" s="30">
        <f>SUM(F72:F73)</f>
        <v/>
      </c>
    </row>
    <row r="75">
      <c r="A75" s="78" t="n">
        <v>45945</v>
      </c>
      <c r="B75" t="inlineStr">
        <is>
          <t>mool Chand yadav</t>
        </is>
      </c>
      <c r="C75" t="inlineStr">
        <is>
          <t>diesal</t>
        </is>
      </c>
      <c r="D75">
        <f>+F75/E75</f>
        <v/>
      </c>
      <c r="E75" t="n">
        <v>90.20999999999999</v>
      </c>
      <c r="F75" s="30" t="n">
        <v>20815.95</v>
      </c>
      <c r="G75" t="n">
        <v>22423</v>
      </c>
    </row>
    <row r="76">
      <c r="A76" s="78" t="n">
        <v>45945</v>
      </c>
      <c r="B76" t="inlineStr">
        <is>
          <t>Piploda</t>
        </is>
      </c>
      <c r="C76" t="inlineStr">
        <is>
          <t>diesal</t>
        </is>
      </c>
      <c r="D76">
        <f>+F76/E76</f>
        <v/>
      </c>
      <c r="E76" t="n">
        <v>90.20999999999999</v>
      </c>
      <c r="F76" s="30" t="n">
        <v>20000</v>
      </c>
      <c r="G76" t="n">
        <v>22424</v>
      </c>
    </row>
    <row r="77">
      <c r="A77" s="78" t="n">
        <v>45945</v>
      </c>
      <c r="B77" t="inlineStr">
        <is>
          <t>Piploda</t>
        </is>
      </c>
      <c r="C77" t="inlineStr">
        <is>
          <t>diesal</t>
        </is>
      </c>
      <c r="D77">
        <f>+F77/E77</f>
        <v/>
      </c>
      <c r="E77" t="n">
        <v>90.20999999999999</v>
      </c>
      <c r="F77" s="30" t="n">
        <v>8189.21</v>
      </c>
      <c r="G77" t="n">
        <v>22425</v>
      </c>
    </row>
    <row r="78">
      <c r="A78" s="78" t="n">
        <v>45945</v>
      </c>
      <c r="B78" t="inlineStr">
        <is>
          <t>indra devi</t>
        </is>
      </c>
      <c r="C78" t="inlineStr">
        <is>
          <t>diesal</t>
        </is>
      </c>
      <c r="D78">
        <f>+F78/E78</f>
        <v/>
      </c>
      <c r="E78" t="n">
        <v>90.20999999999999</v>
      </c>
      <c r="F78" s="30" t="n">
        <v>21618.93</v>
      </c>
      <c r="G78" t="n">
        <v>22426</v>
      </c>
    </row>
    <row r="79">
      <c r="A79" s="78" t="n">
        <v>45945</v>
      </c>
      <c r="B79" t="inlineStr">
        <is>
          <t>dinesh</t>
        </is>
      </c>
      <c r="C79" t="inlineStr">
        <is>
          <t>diesal</t>
        </is>
      </c>
      <c r="D79">
        <f>+F79/E79</f>
        <v/>
      </c>
      <c r="E79" t="n">
        <v>90.20999999999999</v>
      </c>
      <c r="F79" s="30" t="n">
        <v>3084.27</v>
      </c>
      <c r="G79" t="n">
        <v>22427</v>
      </c>
    </row>
    <row r="80">
      <c r="A80" s="78" t="n">
        <v>45945</v>
      </c>
      <c r="B80" t="inlineStr">
        <is>
          <t>Shyam Tran.</t>
        </is>
      </c>
      <c r="C80" t="inlineStr">
        <is>
          <t>diesal</t>
        </is>
      </c>
      <c r="D80">
        <f>+F80/E80</f>
        <v/>
      </c>
      <c r="E80" t="n">
        <v>90.20999999999999</v>
      </c>
      <c r="F80" s="30" t="n">
        <v>2675.62</v>
      </c>
      <c r="G80" t="n">
        <v>22428</v>
      </c>
    </row>
    <row r="81">
      <c r="A81" s="78" t="n">
        <v>45945</v>
      </c>
      <c r="B81" t="inlineStr">
        <is>
          <t>Shyam Tran.</t>
        </is>
      </c>
      <c r="C81" t="inlineStr">
        <is>
          <t>diesal</t>
        </is>
      </c>
      <c r="D81">
        <f>+F81/E81</f>
        <v/>
      </c>
      <c r="E81" t="n">
        <v>90.20999999999999</v>
      </c>
      <c r="F81" s="30" t="n">
        <v>3321.42</v>
      </c>
      <c r="G81" t="n">
        <v>22429</v>
      </c>
    </row>
    <row r="82">
      <c r="A82" s="78" t="n">
        <v>45945</v>
      </c>
      <c r="B82" t="inlineStr">
        <is>
          <t>monu</t>
        </is>
      </c>
      <c r="C82" t="inlineStr">
        <is>
          <t>diesal</t>
        </is>
      </c>
      <c r="D82">
        <f>+F82/E82</f>
        <v/>
      </c>
      <c r="E82" t="n">
        <v>90.20999999999999</v>
      </c>
      <c r="F82" s="30" t="n">
        <v>2599.85</v>
      </c>
      <c r="G82" t="n">
        <v>22430</v>
      </c>
    </row>
    <row r="83">
      <c r="B83" t="inlineStr">
        <is>
          <t>Total</t>
        </is>
      </c>
      <c r="F83" s="30">
        <f>SUM(F75:F82)</f>
        <v/>
      </c>
    </row>
    <row r="84">
      <c r="A84" s="78" t="n">
        <v>45946</v>
      </c>
      <c r="B84" t="inlineStr">
        <is>
          <t>indra devi</t>
        </is>
      </c>
      <c r="C84" t="inlineStr">
        <is>
          <t>diesal</t>
        </is>
      </c>
      <c r="D84">
        <f>+F84/E84</f>
        <v/>
      </c>
      <c r="E84" t="n">
        <v>90.20999999999999</v>
      </c>
      <c r="F84" s="30" t="n">
        <v>32711.95</v>
      </c>
      <c r="G84" t="n">
        <v>22431</v>
      </c>
    </row>
    <row r="85">
      <c r="A85" s="78" t="n">
        <v>45946</v>
      </c>
      <c r="B85" t="inlineStr">
        <is>
          <t>dinesh</t>
        </is>
      </c>
      <c r="C85" t="inlineStr">
        <is>
          <t>diesal</t>
        </is>
      </c>
      <c r="D85">
        <f>+F85/E85</f>
        <v/>
      </c>
      <c r="E85" t="n">
        <v>90.20999999999999</v>
      </c>
      <c r="F85" s="30" t="n">
        <v>3308.96</v>
      </c>
      <c r="G85" t="n">
        <v>22433</v>
      </c>
    </row>
    <row r="86">
      <c r="B86" t="inlineStr">
        <is>
          <t>Total</t>
        </is>
      </c>
      <c r="F86" s="30">
        <f>SUM(F84:F85)</f>
        <v/>
      </c>
    </row>
    <row r="87">
      <c r="A87" s="78" t="n">
        <v>45947</v>
      </c>
      <c r="B87" t="inlineStr">
        <is>
          <t>mk Soler</t>
        </is>
      </c>
      <c r="C87" t="inlineStr">
        <is>
          <t>diesal</t>
        </is>
      </c>
      <c r="D87">
        <f>+F87/E87</f>
        <v/>
      </c>
      <c r="E87" t="n">
        <v>90.20999999999999</v>
      </c>
      <c r="F87" s="30" t="n">
        <v>3440.69</v>
      </c>
      <c r="G87" t="n">
        <v>22434</v>
      </c>
    </row>
    <row r="88">
      <c r="A88" s="78" t="n">
        <v>45947</v>
      </c>
      <c r="B88" t="inlineStr">
        <is>
          <t>mool Chand yadav</t>
        </is>
      </c>
      <c r="C88" t="inlineStr">
        <is>
          <t>diesal</t>
        </is>
      </c>
      <c r="D88">
        <f>+F88/E88</f>
        <v/>
      </c>
      <c r="E88" t="n">
        <v>90.20999999999999</v>
      </c>
      <c r="F88" s="30" t="n">
        <v>18905.39</v>
      </c>
      <c r="G88" t="n">
        <v>22435</v>
      </c>
    </row>
    <row r="89">
      <c r="A89" s="78" t="n">
        <v>45947</v>
      </c>
      <c r="B89" t="inlineStr">
        <is>
          <t>Piploda</t>
        </is>
      </c>
      <c r="C89" t="inlineStr">
        <is>
          <t>diesal</t>
        </is>
      </c>
      <c r="D89">
        <f>+F89/E89</f>
        <v/>
      </c>
      <c r="E89" t="n">
        <v>90.20999999999999</v>
      </c>
      <c r="F89" s="30" t="n">
        <v>23683.73</v>
      </c>
      <c r="G89" t="n">
        <v>22436</v>
      </c>
    </row>
    <row r="90">
      <c r="A90" s="78" t="n">
        <v>45947</v>
      </c>
      <c r="B90" t="inlineStr">
        <is>
          <t>dinesh</t>
        </is>
      </c>
      <c r="C90" t="inlineStr">
        <is>
          <t>diesal</t>
        </is>
      </c>
      <c r="D90">
        <f>+F90/E90</f>
        <v/>
      </c>
      <c r="E90" t="n">
        <v>90.20999999999999</v>
      </c>
      <c r="F90" s="30" t="n">
        <v>3804.15</v>
      </c>
      <c r="G90" t="n">
        <v>22437</v>
      </c>
    </row>
    <row r="91">
      <c r="A91" s="78" t="n">
        <v>45947</v>
      </c>
      <c r="B91" t="inlineStr">
        <is>
          <t>Shyam Tran.</t>
        </is>
      </c>
      <c r="C91" t="inlineStr">
        <is>
          <t>diesal</t>
        </is>
      </c>
      <c r="D91">
        <f>+F91/E91</f>
        <v/>
      </c>
      <c r="E91" t="n">
        <v>90.20999999999999</v>
      </c>
      <c r="F91" s="30" t="n">
        <v>4699.03</v>
      </c>
      <c r="G91" t="n">
        <v>22438</v>
      </c>
    </row>
    <row r="92">
      <c r="B92" t="inlineStr">
        <is>
          <t>Total</t>
        </is>
      </c>
      <c r="F92" s="30">
        <f>SUM(F87:F91)</f>
        <v/>
      </c>
    </row>
    <row r="93">
      <c r="A93" s="78" t="n">
        <v>45948</v>
      </c>
      <c r="B93" t="inlineStr">
        <is>
          <t>mool Chand yadav</t>
        </is>
      </c>
      <c r="C93" t="inlineStr">
        <is>
          <t>diesal</t>
        </is>
      </c>
      <c r="D93">
        <f>+F93/E93</f>
        <v/>
      </c>
      <c r="E93" t="n">
        <v>90.20999999999999</v>
      </c>
      <c r="F93" s="30" t="n">
        <v>2651.23</v>
      </c>
      <c r="G93" t="n">
        <v>22439</v>
      </c>
    </row>
    <row r="94">
      <c r="A94" s="78" t="n">
        <v>45948</v>
      </c>
      <c r="B94" t="inlineStr">
        <is>
          <t>indra devi</t>
        </is>
      </c>
      <c r="C94" t="inlineStr">
        <is>
          <t>diesal</t>
        </is>
      </c>
      <c r="D94">
        <f>+F94/E94</f>
        <v/>
      </c>
      <c r="E94" t="n">
        <v>90.20999999999999</v>
      </c>
      <c r="F94" s="30" t="n">
        <v>22000.41</v>
      </c>
      <c r="G94" t="n">
        <v>22440</v>
      </c>
    </row>
    <row r="95">
      <c r="A95" s="78" t="n">
        <v>45948</v>
      </c>
      <c r="B95" t="inlineStr">
        <is>
          <t>indra devi</t>
        </is>
      </c>
      <c r="C95" t="inlineStr">
        <is>
          <t>diesal</t>
        </is>
      </c>
      <c r="D95">
        <f>+F95/E95</f>
        <v/>
      </c>
      <c r="E95" t="n">
        <v>90.20999999999999</v>
      </c>
      <c r="F95" s="30" t="n">
        <v>3157.35</v>
      </c>
      <c r="G95" t="n">
        <v>22441</v>
      </c>
    </row>
    <row r="96">
      <c r="A96" s="78" t="n">
        <v>45948</v>
      </c>
      <c r="B96" t="inlineStr">
        <is>
          <t>Shyam Tran.</t>
        </is>
      </c>
      <c r="C96" t="inlineStr">
        <is>
          <t>diesal</t>
        </is>
      </c>
      <c r="D96">
        <f>+F96/E96</f>
        <v/>
      </c>
      <c r="E96" t="n">
        <v>90.20999999999999</v>
      </c>
      <c r="F96" s="30" t="n">
        <v>2463.63</v>
      </c>
      <c r="G96" t="n">
        <v>22442</v>
      </c>
    </row>
    <row r="97">
      <c r="A97" s="78" t="n">
        <v>45948</v>
      </c>
      <c r="B97" t="inlineStr">
        <is>
          <t>Piploda</t>
        </is>
      </c>
      <c r="C97" t="inlineStr">
        <is>
          <t>diesal</t>
        </is>
      </c>
      <c r="D97">
        <f>+F97/E97</f>
        <v/>
      </c>
      <c r="E97" t="n">
        <v>90.20999999999999</v>
      </c>
      <c r="F97" s="30" t="n">
        <v>8143.25</v>
      </c>
      <c r="G97" t="n">
        <v>22443</v>
      </c>
    </row>
    <row r="98">
      <c r="B98" t="inlineStr">
        <is>
          <t>Total</t>
        </is>
      </c>
      <c r="F98" s="30">
        <f>SUM(F93:F97)</f>
        <v/>
      </c>
    </row>
    <row r="99">
      <c r="A99" s="78" t="n">
        <v>45949</v>
      </c>
      <c r="B99" t="inlineStr">
        <is>
          <t>mool Chand yadav</t>
        </is>
      </c>
      <c r="C99" t="inlineStr">
        <is>
          <t>diesal</t>
        </is>
      </c>
      <c r="D99">
        <f>+F99/E99</f>
        <v/>
      </c>
      <c r="E99" t="n">
        <v>90.20999999999999</v>
      </c>
      <c r="F99" s="30" t="n">
        <v>20814.15</v>
      </c>
      <c r="G99" t="n">
        <v>22444</v>
      </c>
    </row>
    <row r="100">
      <c r="A100" s="78" t="n">
        <v>45949</v>
      </c>
      <c r="B100" t="inlineStr">
        <is>
          <t>mool Chand yadav</t>
        </is>
      </c>
      <c r="C100" t="inlineStr">
        <is>
          <t>diesal</t>
        </is>
      </c>
      <c r="D100">
        <f>+F100/E100</f>
        <v/>
      </c>
      <c r="E100" t="n">
        <v>90.20999999999999</v>
      </c>
      <c r="F100" s="30" t="n">
        <v>1050</v>
      </c>
      <c r="G100" t="n">
        <v>22445</v>
      </c>
    </row>
    <row r="101">
      <c r="A101" s="78" t="n">
        <v>45949</v>
      </c>
      <c r="B101" t="inlineStr">
        <is>
          <t>indra devi</t>
        </is>
      </c>
      <c r="C101" t="inlineStr">
        <is>
          <t>diesal</t>
        </is>
      </c>
      <c r="D101">
        <f>+F101/E101</f>
        <v/>
      </c>
      <c r="E101" t="n">
        <v>90.20999999999999</v>
      </c>
      <c r="F101" s="30" t="n">
        <v>26725.15</v>
      </c>
      <c r="G101" t="n">
        <v>22446</v>
      </c>
    </row>
    <row r="102">
      <c r="B102" t="inlineStr">
        <is>
          <t>Total</t>
        </is>
      </c>
      <c r="F102" s="30">
        <f>SUM(F99:F101)</f>
        <v/>
      </c>
    </row>
    <row r="103">
      <c r="A103" s="78" t="n">
        <v>45950</v>
      </c>
      <c r="B103" t="inlineStr">
        <is>
          <t>dinesh</t>
        </is>
      </c>
      <c r="C103" t="inlineStr">
        <is>
          <t>diesal</t>
        </is>
      </c>
      <c r="D103">
        <f>+F103/E103</f>
        <v/>
      </c>
      <c r="E103" t="n">
        <v>90.20999999999999</v>
      </c>
      <c r="F103" s="30" t="n">
        <v>3300.78</v>
      </c>
      <c r="G103" t="n">
        <v>22449</v>
      </c>
    </row>
    <row r="104">
      <c r="A104" s="78" t="n">
        <v>45950</v>
      </c>
      <c r="B104" t="inlineStr">
        <is>
          <t>mk Soler</t>
        </is>
      </c>
      <c r="C104" t="inlineStr">
        <is>
          <t>diesal</t>
        </is>
      </c>
      <c r="D104">
        <f>+F104/E104</f>
        <v/>
      </c>
      <c r="E104" t="n">
        <v>90.20999999999999</v>
      </c>
      <c r="F104" s="30" t="n">
        <v>2999.54</v>
      </c>
      <c r="G104" t="n">
        <v>22450</v>
      </c>
    </row>
    <row r="105">
      <c r="A105" s="78" t="n">
        <v>45950</v>
      </c>
      <c r="B105" t="inlineStr">
        <is>
          <t>mool Chand yadav</t>
        </is>
      </c>
      <c r="C105" t="inlineStr">
        <is>
          <t>diesal</t>
        </is>
      </c>
      <c r="D105">
        <f>+F105/E105</f>
        <v/>
      </c>
      <c r="E105" t="n">
        <v>90.20999999999999</v>
      </c>
      <c r="F105" s="30" t="n">
        <v>523.55</v>
      </c>
      <c r="G105" t="n">
        <v>22451</v>
      </c>
    </row>
    <row r="106">
      <c r="B106" t="inlineStr">
        <is>
          <t>Total</t>
        </is>
      </c>
      <c r="F106" s="30">
        <f>SUM(F103:F105)</f>
        <v/>
      </c>
    </row>
    <row r="107">
      <c r="A107" s="78" t="n">
        <v>45951</v>
      </c>
      <c r="B107" t="inlineStr">
        <is>
          <t>mool Chand yadav</t>
        </is>
      </c>
      <c r="C107" t="inlineStr">
        <is>
          <t>diesal</t>
        </is>
      </c>
      <c r="D107">
        <f>+F107/E107</f>
        <v/>
      </c>
      <c r="E107" t="n">
        <v>90.20999999999999</v>
      </c>
      <c r="F107" s="30" t="n">
        <v>10148.62</v>
      </c>
      <c r="G107" t="n">
        <v>22452</v>
      </c>
    </row>
    <row r="108">
      <c r="B108" t="inlineStr">
        <is>
          <t>Total</t>
        </is>
      </c>
      <c r="F108" s="30">
        <f>SUM(F107:F107)</f>
        <v/>
      </c>
    </row>
    <row r="109">
      <c r="A109" s="78" t="n">
        <v>45953</v>
      </c>
      <c r="B109" t="inlineStr">
        <is>
          <t>mool Chand yadav</t>
        </is>
      </c>
      <c r="C109" t="inlineStr">
        <is>
          <t>diesal</t>
        </is>
      </c>
      <c r="D109">
        <f>+F109/E109</f>
        <v/>
      </c>
      <c r="E109" t="n">
        <v>90.20999999999999</v>
      </c>
      <c r="F109" s="30" t="n">
        <v>5871.76</v>
      </c>
      <c r="G109" t="n">
        <v>22453</v>
      </c>
    </row>
    <row r="110">
      <c r="B110" t="inlineStr">
        <is>
          <t>Total</t>
        </is>
      </c>
      <c r="F110" s="30">
        <f>SUM(F109:F109)</f>
        <v/>
      </c>
    </row>
    <row r="111">
      <c r="A111" s="78" t="n">
        <v>45954</v>
      </c>
      <c r="B111" t="inlineStr">
        <is>
          <t>indra devi</t>
        </is>
      </c>
      <c r="C111" t="inlineStr">
        <is>
          <t>diesal</t>
        </is>
      </c>
      <c r="D111">
        <f>+F111/E111</f>
        <v/>
      </c>
      <c r="E111" t="n">
        <v>90.20999999999999</v>
      </c>
      <c r="F111" s="30" t="n">
        <v>17463.75</v>
      </c>
      <c r="G111" t="n">
        <v>22456</v>
      </c>
    </row>
    <row r="112">
      <c r="A112" s="78" t="n">
        <v>45954</v>
      </c>
      <c r="B112" t="inlineStr">
        <is>
          <t>indra devi</t>
        </is>
      </c>
      <c r="C112" t="inlineStr">
        <is>
          <t>diesal</t>
        </is>
      </c>
      <c r="D112">
        <f>+F112/E112</f>
        <v/>
      </c>
      <c r="E112" t="n">
        <v>90.20999999999999</v>
      </c>
      <c r="F112" s="30" t="n">
        <v>2300.35</v>
      </c>
      <c r="G112" t="n">
        <v>22459</v>
      </c>
    </row>
    <row r="113">
      <c r="A113" s="78" t="n">
        <v>45954</v>
      </c>
      <c r="B113" t="inlineStr">
        <is>
          <t>monu</t>
        </is>
      </c>
      <c r="C113" t="inlineStr">
        <is>
          <t>diesal</t>
        </is>
      </c>
      <c r="D113">
        <f>+F113/E113</f>
        <v/>
      </c>
      <c r="E113" t="n">
        <v>90.20999999999999</v>
      </c>
      <c r="F113" s="30" t="n">
        <v>7000.29</v>
      </c>
      <c r="G113" t="n">
        <v>22460</v>
      </c>
    </row>
    <row r="114">
      <c r="B114" t="inlineStr">
        <is>
          <t>Total</t>
        </is>
      </c>
      <c r="F114" s="30">
        <f>SUM(F111:F113)</f>
        <v/>
      </c>
    </row>
    <row r="115">
      <c r="A115" s="78" t="n">
        <v>45955</v>
      </c>
      <c r="B115" t="inlineStr">
        <is>
          <t>indra devi</t>
        </is>
      </c>
      <c r="C115" t="inlineStr">
        <is>
          <t>diesal</t>
        </is>
      </c>
      <c r="D115">
        <f>+F115/E115</f>
        <v/>
      </c>
      <c r="E115" t="n">
        <v>90.20999999999999</v>
      </c>
      <c r="F115" s="30" t="n">
        <v>21999.85</v>
      </c>
      <c r="G115" t="n">
        <v>22462</v>
      </c>
    </row>
    <row r="116">
      <c r="A116" s="78" t="n">
        <v>45955</v>
      </c>
      <c r="B116" t="inlineStr">
        <is>
          <t>mool Chand yadav</t>
        </is>
      </c>
      <c r="C116" t="inlineStr">
        <is>
          <t>diesal</t>
        </is>
      </c>
      <c r="D116">
        <f>+F116/E116</f>
        <v/>
      </c>
      <c r="E116" t="n">
        <v>90.20999999999999</v>
      </c>
      <c r="F116" s="30" t="n">
        <v>17474.87</v>
      </c>
      <c r="G116" t="n">
        <v>22463</v>
      </c>
    </row>
    <row r="117">
      <c r="A117" s="78" t="n">
        <v>45955</v>
      </c>
      <c r="B117" t="inlineStr">
        <is>
          <t>Piploda</t>
        </is>
      </c>
      <c r="C117" t="inlineStr">
        <is>
          <t>diesal</t>
        </is>
      </c>
      <c r="D117">
        <f>+F117/E117</f>
        <v/>
      </c>
      <c r="E117" t="n">
        <v>90.20999999999999</v>
      </c>
      <c r="F117" s="30" t="n">
        <v>18412.37</v>
      </c>
      <c r="G117" t="n">
        <v>22464</v>
      </c>
    </row>
    <row r="118">
      <c r="A118" s="78" t="n">
        <v>45955</v>
      </c>
      <c r="B118" t="inlineStr">
        <is>
          <t>Shyam Tran.</t>
        </is>
      </c>
      <c r="C118" t="inlineStr">
        <is>
          <t>diesal</t>
        </is>
      </c>
      <c r="D118">
        <f>+F118/E118</f>
        <v/>
      </c>
      <c r="E118" t="n">
        <v>90.20999999999999</v>
      </c>
      <c r="F118" s="30" t="n">
        <v>3389.85</v>
      </c>
      <c r="G118" t="n">
        <v>22465</v>
      </c>
    </row>
    <row r="119">
      <c r="B119" t="inlineStr">
        <is>
          <t>Total</t>
        </is>
      </c>
      <c r="F119" s="30">
        <f>SUM(F115:F118)</f>
        <v/>
      </c>
    </row>
    <row r="120">
      <c r="A120" s="78" t="n">
        <v>45956</v>
      </c>
      <c r="B120" t="inlineStr">
        <is>
          <t>Piploda</t>
        </is>
      </c>
      <c r="C120" t="inlineStr">
        <is>
          <t>diesal</t>
        </is>
      </c>
      <c r="D120">
        <f>+F120/E120</f>
        <v/>
      </c>
      <c r="E120" t="n">
        <v>90.20999999999999</v>
      </c>
      <c r="F120" s="30" t="n">
        <v>41174.55</v>
      </c>
      <c r="G120" t="n">
        <v>22467</v>
      </c>
    </row>
    <row r="121">
      <c r="A121" s="78" t="n">
        <v>45956</v>
      </c>
      <c r="B121" t="inlineStr">
        <is>
          <t>Shyam Tran.</t>
        </is>
      </c>
      <c r="C121" t="inlineStr">
        <is>
          <t>diesal</t>
        </is>
      </c>
      <c r="D121">
        <f>+F121/E121</f>
        <v/>
      </c>
      <c r="E121" t="n">
        <v>90.20999999999999</v>
      </c>
      <c r="F121" s="30" t="n">
        <v>2490</v>
      </c>
      <c r="G121" t="n">
        <v>22468</v>
      </c>
    </row>
    <row r="122">
      <c r="B122" t="inlineStr">
        <is>
          <t>Total</t>
        </is>
      </c>
      <c r="F122" s="30">
        <f>SUM(F120:F121)</f>
        <v/>
      </c>
    </row>
    <row r="123">
      <c r="A123" s="78" t="n">
        <v>45957</v>
      </c>
      <c r="B123" t="inlineStr">
        <is>
          <t>mool Chand yadav</t>
        </is>
      </c>
      <c r="C123" t="inlineStr">
        <is>
          <t>diesal</t>
        </is>
      </c>
      <c r="D123">
        <f>+F123/E123</f>
        <v/>
      </c>
      <c r="E123" t="n">
        <v>90.20999999999999</v>
      </c>
      <c r="F123" s="30" t="n">
        <v>19817.39</v>
      </c>
      <c r="G123" t="n">
        <v>22469</v>
      </c>
    </row>
    <row r="124">
      <c r="B124" t="inlineStr">
        <is>
          <t>Total</t>
        </is>
      </c>
      <c r="F124" s="30">
        <f>SUM(F123:F123)</f>
        <v/>
      </c>
    </row>
    <row r="125">
      <c r="A125" s="78" t="n">
        <v>45958</v>
      </c>
      <c r="B125" t="inlineStr">
        <is>
          <t>indra devi</t>
        </is>
      </c>
      <c r="C125" t="inlineStr">
        <is>
          <t>diesal</t>
        </is>
      </c>
      <c r="D125">
        <f>+F125/E125</f>
        <v/>
      </c>
      <c r="E125" t="n">
        <v>90.20999999999999</v>
      </c>
      <c r="F125" s="30" t="n">
        <v>24000.37</v>
      </c>
      <c r="G125" t="n">
        <v>22472</v>
      </c>
    </row>
    <row r="126">
      <c r="A126" s="78" t="n">
        <v>45958</v>
      </c>
      <c r="B126" t="inlineStr">
        <is>
          <t>dinesh</t>
        </is>
      </c>
      <c r="C126" t="inlineStr">
        <is>
          <t>diesal</t>
        </is>
      </c>
      <c r="D126">
        <f>+F126/E126</f>
        <v/>
      </c>
      <c r="E126" t="n">
        <v>90.20999999999999</v>
      </c>
      <c r="F126" s="30" t="n">
        <v>3555.17</v>
      </c>
      <c r="G126" t="n">
        <v>22473</v>
      </c>
    </row>
    <row r="127">
      <c r="B127" t="inlineStr">
        <is>
          <t>Total</t>
        </is>
      </c>
      <c r="F127" s="30">
        <f>SUM(F125:F126)</f>
        <v/>
      </c>
    </row>
    <row r="128">
      <c r="A128" s="78" t="n">
        <v>45959</v>
      </c>
      <c r="B128" t="inlineStr">
        <is>
          <t>Piploda</t>
        </is>
      </c>
      <c r="C128" t="inlineStr">
        <is>
          <t>diesal</t>
        </is>
      </c>
      <c r="D128">
        <f>+F128/E128</f>
        <v/>
      </c>
      <c r="E128" t="n">
        <v>90.20999999999999</v>
      </c>
      <c r="F128" s="30" t="n">
        <v>19792</v>
      </c>
      <c r="G128" t="n">
        <v>22475</v>
      </c>
    </row>
    <row r="129">
      <c r="A129" s="78" t="n">
        <v>45959</v>
      </c>
      <c r="B129" t="inlineStr">
        <is>
          <t>Piploda</t>
        </is>
      </c>
      <c r="C129" t="inlineStr">
        <is>
          <t>diesal</t>
        </is>
      </c>
      <c r="D129">
        <f>+F129/E129</f>
        <v/>
      </c>
      <c r="E129" t="n">
        <v>90.20999999999999</v>
      </c>
      <c r="F129" s="30" t="n">
        <v>20000</v>
      </c>
      <c r="G129" t="n">
        <v>22476</v>
      </c>
    </row>
    <row r="130">
      <c r="A130" s="78" t="n">
        <v>45959</v>
      </c>
      <c r="B130" t="inlineStr">
        <is>
          <t>mool Chand yadav</t>
        </is>
      </c>
      <c r="C130" t="inlineStr">
        <is>
          <t>diesal</t>
        </is>
      </c>
      <c r="D130">
        <f>+F130/E130</f>
        <v/>
      </c>
      <c r="E130" t="n">
        <v>90.20999999999999</v>
      </c>
      <c r="F130" s="30" t="n">
        <v>21436.59</v>
      </c>
      <c r="G130" t="n">
        <v>22477</v>
      </c>
    </row>
    <row r="131">
      <c r="A131" s="78" t="n">
        <v>45959</v>
      </c>
      <c r="B131" t="inlineStr">
        <is>
          <t>vandana School</t>
        </is>
      </c>
      <c r="C131" t="inlineStr">
        <is>
          <t>diesal</t>
        </is>
      </c>
      <c r="D131">
        <f>+F131/E131</f>
        <v/>
      </c>
      <c r="E131" t="n">
        <v>90.20999999999999</v>
      </c>
      <c r="F131" s="30" t="n">
        <v>12841.39</v>
      </c>
      <c r="G131" t="n">
        <v>22478</v>
      </c>
    </row>
    <row r="132">
      <c r="A132" s="78" t="n">
        <v>45959</v>
      </c>
      <c r="B132" t="inlineStr">
        <is>
          <t>indra devi</t>
        </is>
      </c>
      <c r="C132" t="inlineStr">
        <is>
          <t>diesal</t>
        </is>
      </c>
      <c r="D132">
        <f>+F132/E132</f>
        <v/>
      </c>
      <c r="E132" t="n">
        <v>90.20999999999999</v>
      </c>
      <c r="F132" s="30" t="n">
        <v>14000.59</v>
      </c>
      <c r="G132" t="n">
        <v>22479</v>
      </c>
    </row>
    <row r="133">
      <c r="A133" s="78" t="n">
        <v>45959</v>
      </c>
      <c r="B133" t="inlineStr">
        <is>
          <t>mool Chand yadav</t>
        </is>
      </c>
      <c r="C133" t="inlineStr">
        <is>
          <t>diesal</t>
        </is>
      </c>
      <c r="D133">
        <f>+F133/E133</f>
        <v/>
      </c>
      <c r="E133" t="n">
        <v>90.20999999999999</v>
      </c>
      <c r="F133" s="30" t="n">
        <v>4100.44</v>
      </c>
      <c r="G133" t="n">
        <v>22480</v>
      </c>
    </row>
    <row r="134">
      <c r="B134" t="inlineStr">
        <is>
          <t>Total</t>
        </is>
      </c>
      <c r="F134" s="30">
        <f>SUM(F128:F133)</f>
        <v/>
      </c>
    </row>
    <row r="135">
      <c r="A135" s="78" t="n">
        <v>45960</v>
      </c>
      <c r="B135" t="inlineStr">
        <is>
          <t>sayar School</t>
        </is>
      </c>
      <c r="C135" t="inlineStr">
        <is>
          <t>diesal</t>
        </is>
      </c>
      <c r="D135">
        <f>+F135/E135</f>
        <v/>
      </c>
      <c r="E135" t="n">
        <v>90.20999999999999</v>
      </c>
      <c r="F135" s="30" t="n">
        <v>5412.69</v>
      </c>
      <c r="G135" t="n">
        <v>22481</v>
      </c>
    </row>
    <row r="136">
      <c r="A136" s="78" t="n">
        <v>45960</v>
      </c>
      <c r="B136" t="inlineStr">
        <is>
          <t>Piploda</t>
        </is>
      </c>
      <c r="C136" t="inlineStr">
        <is>
          <t>diesal</t>
        </is>
      </c>
      <c r="D136">
        <f>+F136/E136</f>
        <v/>
      </c>
      <c r="E136" t="n">
        <v>90.20999999999999</v>
      </c>
      <c r="F136" s="30" t="n">
        <v>20500.29</v>
      </c>
      <c r="G136" t="n">
        <v>22482</v>
      </c>
    </row>
    <row r="137">
      <c r="A137" s="78" t="n">
        <v>45960</v>
      </c>
      <c r="B137" t="inlineStr">
        <is>
          <t>dinesh</t>
        </is>
      </c>
      <c r="C137" t="inlineStr">
        <is>
          <t>diesal</t>
        </is>
      </c>
      <c r="D137">
        <f>+F137/E137</f>
        <v/>
      </c>
      <c r="E137" t="n">
        <v>90.20999999999999</v>
      </c>
      <c r="F137" s="30" t="n">
        <v>3550.69</v>
      </c>
      <c r="G137" t="n">
        <v>22483</v>
      </c>
    </row>
    <row r="138">
      <c r="A138" s="78" t="n">
        <v>45960</v>
      </c>
      <c r="B138" t="inlineStr">
        <is>
          <t>indra devi</t>
        </is>
      </c>
      <c r="C138" t="inlineStr">
        <is>
          <t>diesal</t>
        </is>
      </c>
      <c r="D138">
        <f>+F138/E138</f>
        <v/>
      </c>
      <c r="E138" t="n">
        <v>90.20999999999999</v>
      </c>
      <c r="F138" s="30" t="n">
        <v>3539.47</v>
      </c>
      <c r="G138" t="n">
        <v>22485</v>
      </c>
    </row>
    <row r="139">
      <c r="A139" s="78" t="n">
        <v>45960</v>
      </c>
      <c r="B139" t="inlineStr">
        <is>
          <t>mk Soler</t>
        </is>
      </c>
      <c r="C139" t="inlineStr">
        <is>
          <t>diesal</t>
        </is>
      </c>
      <c r="D139">
        <f>+F139/E139</f>
        <v/>
      </c>
      <c r="E139" t="n">
        <v>90.20999999999999</v>
      </c>
      <c r="F139" s="30" t="n">
        <v>2500.47</v>
      </c>
      <c r="G139" t="n">
        <v>22489</v>
      </c>
    </row>
    <row r="140">
      <c r="A140" s="78" t="n">
        <v>45960</v>
      </c>
      <c r="B140" t="inlineStr">
        <is>
          <t>kedia</t>
        </is>
      </c>
      <c r="C140" t="inlineStr">
        <is>
          <t>diesal</t>
        </is>
      </c>
      <c r="D140">
        <f>+F140/E140</f>
        <v/>
      </c>
      <c r="E140" t="n">
        <v>90.20999999999999</v>
      </c>
      <c r="F140" s="30" t="n">
        <v>50000</v>
      </c>
      <c r="G140" t="n">
        <v>22488</v>
      </c>
    </row>
    <row r="141">
      <c r="B141" t="inlineStr">
        <is>
          <t>Total</t>
        </is>
      </c>
      <c r="F141" s="30">
        <f>SUM(F135:F140)</f>
        <v/>
      </c>
    </row>
    <row r="142">
      <c r="A142" s="78" t="n">
        <v>45961</v>
      </c>
      <c r="B142" t="inlineStr">
        <is>
          <t>Piploda</t>
        </is>
      </c>
      <c r="C142" t="inlineStr">
        <is>
          <t>diesal</t>
        </is>
      </c>
      <c r="D142">
        <f>+F142/E142</f>
        <v/>
      </c>
      <c r="E142" t="n">
        <v>90.20999999999999</v>
      </c>
      <c r="F142" s="30" t="n">
        <v>20000</v>
      </c>
      <c r="G142" t="n">
        <v>22491</v>
      </c>
    </row>
    <row r="143">
      <c r="A143" s="78" t="n">
        <v>45961</v>
      </c>
      <c r="B143" t="inlineStr">
        <is>
          <t>mool Chand yadav</t>
        </is>
      </c>
      <c r="C143" t="inlineStr">
        <is>
          <t>diesal</t>
        </is>
      </c>
      <c r="D143">
        <f>+F143/E143</f>
        <v/>
      </c>
      <c r="E143" t="n">
        <v>90.20999999999999</v>
      </c>
      <c r="F143" s="30" t="n">
        <v>14689.79</v>
      </c>
      <c r="G143" t="n">
        <v>22492</v>
      </c>
    </row>
    <row r="144">
      <c r="B144" t="inlineStr">
        <is>
          <t>Total</t>
        </is>
      </c>
      <c r="F144" s="30">
        <f>SUM(F142:F143)</f>
        <v/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</dc:creator>
  <dcterms:created xsi:type="dcterms:W3CDTF">2015-06-05T18:17:20Z</dcterms:created>
  <dcterms:modified xsi:type="dcterms:W3CDTF">2026-09-26T17:43:17Z</dcterms:modified>
  <cp:lastModifiedBy>Asus</cp:lastModifiedBy>
</cp:coreProperties>
</file>